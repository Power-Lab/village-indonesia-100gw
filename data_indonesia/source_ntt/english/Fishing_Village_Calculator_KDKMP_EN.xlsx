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500" firstSheet="4" activeTab="4" autoFilterDateGrouping="1"/>
  </bookViews>
  <sheets>
    <sheet xmlns:r="http://schemas.openxmlformats.org/officeDocument/2006/relationships" name="📖 Asumsi Rantai Pasok" sheetId="1" state="visible" r:id="rId1"/>
    <sheet xmlns:r="http://schemas.openxmlformats.org/officeDocument/2006/relationships" name="🐟 Kalkulator Kebutuhan Listrik" sheetId="2" state="visible" r:id="rId2"/>
    <sheet xmlns:r="http://schemas.openxmlformats.org/officeDocument/2006/relationships" name="💰 Kapasitas &amp; Investasi" sheetId="3" state="visible" r:id="rId3"/>
    <sheet xmlns:r="http://schemas.openxmlformats.org/officeDocument/2006/relationships" name="Kalkulator Pendapatan" sheetId="4" state="visible" r:id="rId4"/>
    <sheet xmlns:r="http://schemas.openxmlformats.org/officeDocument/2006/relationships" name="Summary &amp; Graphs" sheetId="5" state="visible" r:id="rId5"/>
  </sheets>
  <definedNames/>
  <calcPr calcId="191028" fullCalcOnLoad="1" iterateDelta="0.0001"/>
</workbook>
</file>

<file path=xl/styles.xml><?xml version="1.0" encoding="utf-8"?>
<styleSheet xmlns="http://schemas.openxmlformats.org/spreadsheetml/2006/main">
  <numFmts count="5">
    <numFmt numFmtId="164" formatCode="#,##0.0"/>
    <numFmt numFmtId="165" formatCode="0.0%"/>
    <numFmt numFmtId="166" formatCode="0.0"/>
    <numFmt numFmtId="167" formatCode="_(* #,##0_);_(* \(#,##0\);_(* \-??_);_(@_)"/>
    <numFmt numFmtId="168" formatCode="_(* #,##0.00_);_(* \(#,##0.00\);_(* \-??_);_(@_)"/>
  </numFmts>
  <fonts count="46">
    <font>
      <name val="Calibri"/>
      <charset val="1"/>
      <family val="2"/>
      <color theme="1"/>
      <sz val="11"/>
    </font>
    <font>
      <name val="Arial"/>
      <charset val="1"/>
      <family val="2"/>
      <b val="1"/>
      <color rgb="FFFFFFFF"/>
      <sz val="13"/>
    </font>
    <font>
      <name val="Arial"/>
      <charset val="1"/>
      <family val="2"/>
      <i val="1"/>
      <color rgb="FF000000"/>
      <sz val="9"/>
    </font>
    <font>
      <name val="Arial"/>
      <charset val="1"/>
      <family val="2"/>
      <b val="1"/>
      <color rgb="FFFFFFFF"/>
      <sz val="9"/>
    </font>
    <font>
      <name val="Arial"/>
      <charset val="1"/>
      <family val="2"/>
      <b val="1"/>
      <color rgb="FF000000"/>
      <sz val="9"/>
    </font>
    <font>
      <name val="Arial"/>
      <charset val="1"/>
      <family val="2"/>
      <color rgb="FF000000"/>
      <sz val="9"/>
    </font>
    <font>
      <name val="Arial"/>
      <charset val="1"/>
      <family val="2"/>
      <i val="1"/>
      <color rgb="FF000000"/>
      <sz val="8"/>
    </font>
    <font>
      <name val="Arial"/>
      <charset val="1"/>
      <family val="2"/>
      <b val="1"/>
      <color rgb="FF1F3864"/>
      <sz val="9"/>
    </font>
    <font>
      <name val="Arial"/>
      <family val="2"/>
      <sz val="10"/>
    </font>
    <font>
      <name val="Arial"/>
      <charset val="1"/>
      <family val="2"/>
      <i val="1"/>
      <color rgb="FF1F3864"/>
      <sz val="9"/>
    </font>
    <font>
      <name val="Arial"/>
      <charset val="1"/>
      <family val="2"/>
      <b val="1"/>
      <color rgb="FF1F3864"/>
      <sz val="10"/>
    </font>
    <font>
      <name val="Arial"/>
      <charset val="1"/>
      <family val="2"/>
      <color rgb="FF000000"/>
      <sz val="10"/>
    </font>
    <font>
      <name val="Arial"/>
      <charset val="1"/>
      <family val="2"/>
      <b val="1"/>
      <color rgb="FF0000FF"/>
      <sz val="10"/>
    </font>
    <font>
      <name val="Arial"/>
      <charset val="1"/>
      <family val="2"/>
      <b val="1"/>
      <color rgb="FF888888"/>
      <sz val="9"/>
    </font>
    <font>
      <name val="Arial"/>
      <charset val="1"/>
      <family val="2"/>
      <b val="1"/>
      <color rgb="FF000000"/>
      <sz val="10"/>
    </font>
    <font>
      <name val="Arial"/>
      <charset val="1"/>
      <family val="2"/>
      <sz val="10"/>
    </font>
    <font>
      <name val="Arial"/>
      <charset val="1"/>
      <family val="2"/>
      <i val="1"/>
      <color rgb="FF444444"/>
      <sz val="8"/>
    </font>
    <font>
      <name val="Arial"/>
      <charset val="1"/>
      <family val="2"/>
      <sz val="9"/>
    </font>
    <font>
      <name val="Arial"/>
      <charset val="1"/>
      <family val="2"/>
      <i val="1"/>
      <sz val="8"/>
    </font>
    <font>
      <name val="Arial"/>
      <charset val="1"/>
      <family val="2"/>
      <b val="1"/>
      <color rgb="FFFFFFFF"/>
      <sz val="10"/>
    </font>
    <font>
      <name val="Arial"/>
      <charset val="1"/>
      <family val="2"/>
      <b val="1"/>
      <color rgb="FFFFFFFF"/>
      <sz val="11"/>
    </font>
    <font>
      <name val="Arial"/>
      <charset val="1"/>
      <family val="2"/>
      <color rgb="FF1F3864"/>
      <sz val="10"/>
    </font>
    <font>
      <name val="Arial"/>
      <charset val="1"/>
      <family val="2"/>
      <color rgb="FFFFFFFF"/>
      <sz val="9"/>
    </font>
    <font>
      <name val="Arial"/>
      <charset val="1"/>
      <family val="2"/>
      <color rgb="FF0000FF"/>
      <sz val="10"/>
    </font>
    <font>
      <name val="Arial"/>
      <charset val="1"/>
      <family val="2"/>
      <i val="1"/>
      <color rgb="FF888888"/>
      <sz val="9"/>
    </font>
    <font>
      <name val="Arial"/>
      <charset val="1"/>
      <family val="2"/>
      <b val="1"/>
      <i val="1"/>
      <color rgb="FF888888"/>
      <sz val="9"/>
    </font>
    <font>
      <name val="Arial"/>
      <charset val="1"/>
      <family val="2"/>
      <b val="1"/>
      <color rgb="FFFFFFFF"/>
      <sz val="12"/>
    </font>
    <font>
      <name val="Arial"/>
      <charset val="1"/>
      <family val="2"/>
      <i val="1"/>
      <color rgb="FF5D1A1A"/>
      <sz val="9"/>
    </font>
    <font>
      <name val="Arial"/>
      <charset val="1"/>
      <family val="2"/>
      <color rgb="FF006600"/>
      <sz val="9"/>
    </font>
    <font>
      <name val="Arial"/>
      <charset val="1"/>
      <b val="1"/>
      <color rgb="FFFFFFFF"/>
      <sz val="10"/>
    </font>
    <font>
      <name val="Arial"/>
      <charset val="1"/>
      <i val="1"/>
      <color rgb="FF444444"/>
      <sz val="8"/>
    </font>
    <font>
      <name val="Arial"/>
      <charset val="1"/>
      <b val="1"/>
      <color rgb="FF000000"/>
      <sz val="8"/>
    </font>
    <font>
      <name val="Arial"/>
      <charset val="1"/>
      <color rgb="FF000000"/>
      <sz val="8"/>
    </font>
    <font>
      <name val="Arial"/>
      <charset val="1"/>
      <color rgb="FFFFFFFF"/>
      <sz val="8"/>
    </font>
    <font>
      <name val="Calibri"/>
      <charset val="1"/>
      <family val="2"/>
      <b val="1"/>
      <color theme="1"/>
      <sz val="11"/>
    </font>
    <font>
      <name val="Tahoma"/>
      <family val="2"/>
      <color indexed="81"/>
      <sz val="9"/>
    </font>
    <font>
      <name val="Calibri"/>
      <charset val="1"/>
      <family val="2"/>
      <b val="1"/>
      <color theme="0"/>
      <sz val="11"/>
    </font>
    <font>
      <name val="Tahoma"/>
      <family val="2"/>
      <b val="1"/>
      <color indexed="81"/>
      <sz val="9"/>
    </font>
    <font>
      <name val="Arial"/>
      <family val="2"/>
      <b val="1"/>
      <color theme="0"/>
      <sz val="11"/>
    </font>
    <font>
      <name val="Arial"/>
      <charset val="1"/>
      <family val="2"/>
      <b val="1"/>
      <sz val="9"/>
    </font>
    <font>
      <name val="Arial"/>
      <charset val="1"/>
      <family val="2"/>
      <b val="1"/>
      <color theme="0" tint="-0.499984740745262"/>
      <sz val="9"/>
    </font>
    <font>
      <name val="Calibri"/>
      <charset val="1"/>
      <family val="2"/>
      <color rgb="FFC00000"/>
      <sz val="11"/>
    </font>
    <font>
      <name val="Calibri"/>
      <family val="2"/>
      <i val="1"/>
      <color theme="1"/>
      <sz val="11"/>
    </font>
    <font>
      <name val="Calibri"/>
      <charset val="1"/>
      <family val="2"/>
      <b val="1"/>
      <color theme="1"/>
      <sz val="14"/>
    </font>
    <font>
      <name val="Calibri"/>
      <family val="2"/>
      <b val="1"/>
      <color theme="1"/>
      <sz val="11"/>
    </font>
    <font>
      <name val="Arial"/>
      <charset val="1"/>
      <family val="2"/>
      <color theme="1"/>
      <sz val="10"/>
    </font>
  </fonts>
  <fills count="42">
    <fill>
      <patternFill/>
    </fill>
    <fill>
      <patternFill patternType="gray125"/>
    </fill>
    <fill>
      <patternFill patternType="solid">
        <fgColor rgb="FF1F3864"/>
        <bgColor rgb="FF21435A"/>
      </patternFill>
    </fill>
    <fill>
      <patternFill patternType="solid">
        <fgColor rgb="FFFCE4D6"/>
        <bgColor rgb="FFFFF2CC"/>
      </patternFill>
    </fill>
    <fill>
      <patternFill patternType="solid">
        <fgColor rgb="FF2E75B6"/>
        <bgColor rgb="FF4F81BD"/>
      </patternFill>
    </fill>
    <fill>
      <patternFill patternType="solid">
        <fgColor rgb="FFE2EFDA"/>
        <bgColor rgb="FFEBF1DE"/>
      </patternFill>
    </fill>
    <fill>
      <patternFill patternType="solid">
        <fgColor rgb="FFFFFFFF"/>
        <bgColor rgb="FFF5F5F5"/>
      </patternFill>
    </fill>
    <fill>
      <patternFill patternType="solid">
        <fgColor rgb="FFFFF3CD"/>
        <bgColor rgb="FFFFF2CC"/>
      </patternFill>
    </fill>
    <fill>
      <patternFill patternType="solid">
        <fgColor rgb="FFFFF2CC"/>
        <bgColor rgb="FFFFF3CD"/>
      </patternFill>
    </fill>
    <fill>
      <patternFill patternType="solid">
        <fgColor rgb="FFEBF3E8"/>
        <bgColor rgb="FFE8F4E8"/>
      </patternFill>
    </fill>
    <fill>
      <patternFill patternType="solid">
        <fgColor rgb="FFBDD7EE"/>
        <bgColor rgb="FFCCCCCC"/>
      </patternFill>
    </fill>
    <fill>
      <patternFill patternType="solid">
        <fgColor rgb="FF2E4057"/>
        <bgColor rgb="FF21435A"/>
      </patternFill>
    </fill>
    <fill>
      <patternFill patternType="solid">
        <fgColor rgb="FFF5F5F5"/>
        <bgColor rgb="FFF2F2F2"/>
      </patternFill>
    </fill>
    <fill>
      <patternFill patternType="solid">
        <fgColor rgb="FFD6E4F0"/>
        <bgColor rgb="FFD9EAF8"/>
      </patternFill>
    </fill>
    <fill>
      <patternFill patternType="solid">
        <fgColor theme="6" tint="0.7997985778374584"/>
        <bgColor rgb="FFEBF3E8"/>
      </patternFill>
    </fill>
    <fill>
      <patternFill patternType="solid">
        <fgColor rgb="FFE8F4E8"/>
        <bgColor rgb="FFEBF3E8"/>
      </patternFill>
    </fill>
    <fill>
      <patternFill patternType="solid">
        <fgColor rgb="FFF0F0F0"/>
        <bgColor rgb="FFF2F2F2"/>
      </patternFill>
    </fill>
    <fill>
      <patternFill patternType="solid">
        <fgColor rgb="FF1A5276"/>
        <bgColor rgb="FF21435A"/>
      </patternFill>
    </fill>
    <fill>
      <patternFill patternType="solid">
        <fgColor rgb="FFC0392B"/>
        <bgColor rgb="FFC0504D"/>
      </patternFill>
    </fill>
    <fill>
      <patternFill patternType="solid">
        <fgColor rgb="FF21435A"/>
        <bgColor rgb="FF2E4057"/>
      </patternFill>
    </fill>
    <fill>
      <patternFill patternType="solid">
        <fgColor rgb="FF0096D6"/>
        <bgColor rgb="FF2E75B6"/>
      </patternFill>
    </fill>
    <fill>
      <patternFill patternType="solid">
        <fgColor rgb="FFD0F5D0"/>
        <bgColor rgb="FFD5F5E3"/>
      </patternFill>
    </fill>
    <fill>
      <patternFill patternType="solid">
        <fgColor rgb="FFD9EAF8"/>
        <bgColor rgb="FFD6E4F0"/>
      </patternFill>
    </fill>
    <fill>
      <patternFill patternType="solid">
        <fgColor rgb="FFF2F2F2"/>
        <bgColor rgb="FFF0F0F0"/>
      </patternFill>
    </fill>
    <fill>
      <patternFill patternType="solid">
        <fgColor rgb="FF1E8449"/>
        <bgColor rgb="FF006600"/>
      </patternFill>
    </fill>
    <fill>
      <patternFill patternType="solid">
        <fgColor rgb="FFE8E8E8"/>
        <bgColor rgb="FFE6E6E6"/>
      </patternFill>
    </fill>
    <fill>
      <patternFill patternType="solid">
        <fgColor rgb="FFFFF2CC"/>
        <bgColor rgb="FFE8F4E8"/>
      </patternFill>
    </fill>
    <fill>
      <patternFill patternType="solid">
        <fgColor rgb="FFD9EAF8"/>
        <bgColor rgb="FFFFF2CC"/>
      </patternFill>
    </fill>
    <fill>
      <patternFill patternType="solid">
        <fgColor rgb="FFD9EAF8"/>
        <bgColor rgb="FFE8F4E8"/>
      </patternFill>
    </fill>
    <fill>
      <patternFill patternType="solid">
        <fgColor rgb="FFD0F5D0"/>
        <bgColor rgb="FFFFF2CC"/>
      </patternFill>
    </fill>
    <fill>
      <patternFill patternType="solid">
        <fgColor rgb="FFD0F5D0"/>
        <bgColor rgb="FFE8F4E8"/>
      </patternFill>
    </fill>
    <fill>
      <patternFill patternType="solid">
        <fgColor rgb="FFFFF3CD"/>
        <bgColor rgb="FFE8F4E8"/>
      </patternFill>
    </fill>
    <fill>
      <patternFill patternType="solid">
        <fgColor rgb="FFFFF3CD"/>
        <bgColor rgb="FFD0F5D0"/>
      </patternFill>
    </fill>
    <fill>
      <patternFill patternType="solid">
        <fgColor rgb="FFEBF3E8"/>
        <bgColor rgb="FFFFF3CD"/>
      </patternFill>
    </fill>
    <fill>
      <patternFill patternType="solid">
        <fgColor theme="3"/>
        <bgColor rgb="FFD9EAF8"/>
      </patternFill>
    </fill>
    <fill>
      <patternFill patternType="solid">
        <fgColor theme="3"/>
        <bgColor rgb="FFE8F4E8"/>
      </patternFill>
    </fill>
    <fill>
      <patternFill patternType="solid">
        <fgColor rgb="FFE2EFDA"/>
        <bgColor rgb="FFFFF2CC"/>
      </patternFill>
    </fill>
    <fill>
      <patternFill patternType="solid">
        <fgColor theme="4" tint="0.7999816888943144"/>
        <bgColor rgb="FFFFF3CD"/>
      </patternFill>
    </fill>
    <fill>
      <patternFill patternType="solid">
        <fgColor theme="0" tint="-0.1499984740745262"/>
        <bgColor rgb="FFFFF3CD"/>
      </patternFill>
    </fill>
    <fill>
      <patternFill patternType="solid">
        <fgColor rgb="FFEBF3E8"/>
        <bgColor rgb="FFEBF3E8"/>
      </patternFill>
    </fill>
    <fill>
      <patternFill patternType="solid">
        <fgColor rgb="FFFFF3CD"/>
        <bgColor rgb="FFD5F5E3"/>
      </patternFill>
    </fill>
    <fill>
      <patternFill patternType="solid">
        <fgColor rgb="FFD9EAF8"/>
        <bgColor rgb="FFD5F5E3"/>
      </patternFill>
    </fill>
  </fills>
  <borders count="31">
    <border>
      <left/>
      <right/>
      <top/>
      <bottom/>
      <diagonal/>
    </border>
    <border>
      <left style="medium">
        <color rgb="FF444444"/>
      </left>
      <right/>
      <top/>
      <bottom/>
      <diagonal/>
    </border>
    <border>
      <left style="thin">
        <color rgb="FFAAAAAA"/>
      </left>
      <right style="thin">
        <color rgb="FFAAAAAA"/>
      </right>
      <top style="thin">
        <color rgb="FFAAAAAA"/>
      </top>
      <bottom style="thin">
        <color rgb="FFAAAAAA"/>
      </bottom>
      <diagonal/>
    </border>
    <border>
      <left style="medium">
        <color rgb="FF444444"/>
      </left>
      <right/>
      <top style="thin">
        <color rgb="FFAAAAAA"/>
      </top>
      <bottom style="thin">
        <color rgb="FFAAAAAA"/>
      </bottom>
      <diagonal/>
    </border>
    <border>
      <left style="medium">
        <color rgb="FF444444"/>
      </left>
      <right/>
      <top style="medium">
        <color rgb="FF444444"/>
      </top>
      <bottom style="medium">
        <color rgb="FF444444"/>
      </bottom>
      <diagonal/>
    </border>
    <border>
      <left style="thin">
        <color rgb="FFAAAAAA"/>
      </left>
      <right/>
      <top style="thin">
        <color rgb="FFAAAAAA"/>
      </top>
      <bottom style="thin">
        <color rgb="FFAAAAAA"/>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style="medium">
        <color rgb="FF444444"/>
      </top>
      <bottom style="thin">
        <color rgb="FFBBBBBB"/>
      </bottom>
      <diagonal/>
    </border>
    <border>
      <left style="thin">
        <color rgb="FFBBBBBB"/>
      </left>
      <right/>
      <top style="thin">
        <color rgb="FFBBBBBB"/>
      </top>
      <bottom style="thin">
        <color rgb="FFBBBBBB"/>
      </bottom>
      <diagonal/>
    </border>
    <border>
      <left style="medium">
        <color rgb="FF555555"/>
      </left>
      <right/>
      <top/>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medium">
        <color rgb="FF444444"/>
      </left>
      <right style="medium">
        <color rgb="FF444444"/>
      </right>
      <top style="medium">
        <color rgb="FF444444"/>
      </top>
      <bottom style="medium">
        <color rgb="FF444444"/>
      </bottom>
      <diagonal/>
    </border>
    <border>
      <left style="thin">
        <color rgb="FFDDDDDD"/>
      </left>
      <right/>
      <top style="thin">
        <color rgb="FFDDDDDD"/>
      </top>
      <bottom style="thin">
        <color rgb="FFDDDDDD"/>
      </bottom>
      <diagonal/>
    </border>
    <border>
      <left/>
      <right/>
      <top style="medium">
        <color rgb="FF444444"/>
      </top>
      <bottom style="medium">
        <color rgb="FF444444"/>
      </bottom>
      <diagonal/>
    </border>
    <border>
      <left/>
      <right style="medium">
        <color rgb="FF444444"/>
      </right>
      <top style="medium">
        <color rgb="FF444444"/>
      </top>
      <bottom style="medium">
        <color rgb="FF444444"/>
      </bottom>
      <diagonal/>
    </border>
    <border>
      <left/>
      <right/>
      <top style="thin">
        <color rgb="FFAAAAAA"/>
      </top>
      <bottom/>
      <diagonal/>
    </border>
    <border>
      <left/>
      <right/>
      <top style="thin">
        <color rgb="FFAAAAAA"/>
      </top>
      <bottom style="thin">
        <color rgb="FFAAAAAA"/>
      </bottom>
      <diagonal/>
    </border>
    <border>
      <left/>
      <right/>
      <top style="medium">
        <color rgb="FF444444"/>
      </top>
      <bottom/>
      <diagonal/>
    </border>
    <border>
      <left/>
      <right style="thin">
        <color rgb="FFBBBBBB"/>
      </right>
      <top style="medium">
        <color rgb="FF444444"/>
      </top>
      <bottom/>
      <diagonal/>
    </border>
    <border>
      <left/>
      <right/>
      <top style="medium">
        <color rgb="FF444444"/>
      </top>
      <bottom style="thin">
        <color rgb="FFBBBBBB"/>
      </bottom>
      <diagonal/>
    </border>
    <border>
      <left/>
      <right style="thin">
        <color rgb="FFBBBBBB"/>
      </right>
      <top style="medium">
        <color rgb="FF444444"/>
      </top>
      <bottom style="thin">
        <color rgb="FFBBBBBB"/>
      </bottom>
      <diagonal/>
    </border>
    <border>
      <left/>
      <right/>
      <top style="thin">
        <color rgb="FFBBBBBB"/>
      </top>
      <bottom/>
      <diagonal/>
    </border>
    <border>
      <left/>
      <right style="thin">
        <color rgb="FFBBBBBB"/>
      </right>
      <top style="thin">
        <color rgb="FFBBBBBB"/>
      </top>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
      <left/>
      <right/>
      <top style="thin">
        <color rgb="FFCCCCCC"/>
      </top>
      <bottom/>
      <diagonal/>
    </border>
    <border>
      <left/>
      <right/>
      <top style="thin">
        <color rgb="FFCCCCCC"/>
      </top>
      <bottom style="thin">
        <color rgb="FFCCCCCC"/>
      </bottom>
      <diagonal/>
    </border>
    <border>
      <left/>
      <right/>
      <top style="thin">
        <color rgb="FFDDDDDD"/>
      </top>
      <bottom/>
      <diagonal/>
    </border>
    <border>
      <left/>
      <right/>
      <top style="thin">
        <color rgb="FFDDDDDD"/>
      </top>
      <bottom style="thin">
        <color rgb="FFDDDDDD"/>
      </bottom>
      <diagonal/>
    </border>
    <border>
      <left/>
      <right style="medium">
        <color rgb="FF444444"/>
      </right>
      <top style="medium">
        <color rgb="FF444444"/>
      </top>
      <bottom/>
      <diagonal/>
    </border>
  </borders>
  <cellStyleXfs count="2">
    <xf numFmtId="0" fontId="0" fillId="0" borderId="0"/>
    <xf numFmtId="168" fontId="15" fillId="0" borderId="0"/>
  </cellStyleXfs>
  <cellXfs count="206">
    <xf numFmtId="0" fontId="0" fillId="0" borderId="0" pivotButton="0" quotePrefix="0" xfId="0"/>
    <xf numFmtId="0" fontId="3"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5" fillId="5" borderId="2" applyAlignment="1" pivotButton="0" quotePrefix="0" xfId="0">
      <alignment horizontal="left" vertical="center" wrapText="1"/>
    </xf>
    <xf numFmtId="3" fontId="5" fillId="5" borderId="2" applyAlignment="1" pivotButton="0" quotePrefix="0" xfId="0">
      <alignment horizontal="right" vertical="center"/>
    </xf>
    <xf numFmtId="3" fontId="4" fillId="5" borderId="2" applyAlignment="1" pivotButton="0" quotePrefix="0" xfId="0">
      <alignment horizontal="right" vertical="center"/>
    </xf>
    <xf numFmtId="0" fontId="6" fillId="6" borderId="2" applyAlignment="1" pivotButton="0" quotePrefix="0" xfId="0">
      <alignment horizontal="left" vertical="center" wrapText="1"/>
    </xf>
    <xf numFmtId="0" fontId="11" fillId="6" borderId="2" applyAlignment="1" pivotButton="0" quotePrefix="0" xfId="0">
      <alignment horizontal="left" vertical="center" wrapText="1"/>
    </xf>
    <xf numFmtId="0" fontId="11" fillId="6" borderId="2" applyAlignment="1" pivotButton="0" quotePrefix="0" xfId="0">
      <alignment horizontal="center" vertical="center" wrapText="1"/>
    </xf>
    <xf numFmtId="0" fontId="2" fillId="6" borderId="2" applyAlignment="1" pivotButton="0" quotePrefix="0" xfId="0">
      <alignment horizontal="left" vertical="center" wrapText="1"/>
    </xf>
    <xf numFmtId="164" fontId="11" fillId="9" borderId="2" applyAlignment="1" pivotButton="0" quotePrefix="0" xfId="0">
      <alignment horizontal="right" vertical="center" wrapText="1"/>
    </xf>
    <xf numFmtId="49" fontId="12" fillId="8" borderId="2" applyAlignment="1" pivotButton="0" quotePrefix="0" xfId="0">
      <alignment horizontal="right" vertical="center" wrapText="1"/>
    </xf>
    <xf numFmtId="164" fontId="12" fillId="7" borderId="2" applyAlignment="1" pivotButton="0" quotePrefix="0" xfId="0">
      <alignment horizontal="right" vertical="center" wrapText="1"/>
    </xf>
    <xf numFmtId="0" fontId="5" fillId="6" borderId="2" applyAlignment="1" pivotButton="0" quotePrefix="0" xfId="0">
      <alignment horizontal="left" vertical="center" wrapText="1"/>
    </xf>
    <xf numFmtId="3" fontId="11" fillId="9" borderId="2" applyAlignment="1" pivotButton="0" quotePrefix="0" xfId="0">
      <alignment horizontal="right" vertical="center" wrapText="1"/>
    </xf>
    <xf numFmtId="1" fontId="12" fillId="8" borderId="2" applyAlignment="1" pivotButton="0" quotePrefix="0" xfId="0">
      <alignment horizontal="right" vertical="center" wrapText="1"/>
    </xf>
    <xf numFmtId="0" fontId="13" fillId="12" borderId="2" applyAlignment="1" pivotButton="0" quotePrefix="0" xfId="0">
      <alignment horizontal="center" vertical="center" wrapText="1"/>
    </xf>
    <xf numFmtId="0" fontId="14" fillId="13" borderId="2" applyAlignment="1" pivotButton="0" quotePrefix="0" xfId="0">
      <alignment horizontal="left" vertical="center" wrapText="1"/>
    </xf>
    <xf numFmtId="10" fontId="11" fillId="9" borderId="2" applyAlignment="1" pivotButton="0" quotePrefix="0" xfId="0">
      <alignment horizontal="right" vertical="center" wrapText="1"/>
    </xf>
    <xf numFmtId="0" fontId="0" fillId="4" borderId="6" pivotButton="0" quotePrefix="0" xfId="0"/>
    <xf numFmtId="0" fontId="3" fillId="4" borderId="6" applyAlignment="1" pivotButton="0" quotePrefix="0" xfId="0">
      <alignment horizontal="center" vertical="center" wrapText="1"/>
    </xf>
    <xf numFmtId="0" fontId="11" fillId="13" borderId="6" applyAlignment="1" pivotButton="0" quotePrefix="0" xfId="0">
      <alignment horizontal="left" vertical="center" wrapText="1"/>
    </xf>
    <xf numFmtId="0" fontId="5" fillId="6" borderId="6" applyAlignment="1" pivotButton="0" quotePrefix="0" xfId="0">
      <alignment horizontal="left" vertical="center" wrapText="1"/>
    </xf>
    <xf numFmtId="0" fontId="0" fillId="6" borderId="6" pivotButton="0" quotePrefix="0" xfId="0"/>
    <xf numFmtId="0" fontId="5" fillId="6" borderId="6" applyAlignment="1" pivotButton="0" quotePrefix="0" xfId="0">
      <alignment horizontal="center" vertical="center" wrapText="1"/>
    </xf>
    <xf numFmtId="0" fontId="6" fillId="6" borderId="6" applyAlignment="1" pivotButton="0" quotePrefix="0" xfId="0">
      <alignment horizontal="left" vertical="center" wrapText="1"/>
    </xf>
    <xf numFmtId="164" fontId="12" fillId="8" borderId="6" applyAlignment="1" pivotButton="0" quotePrefix="0" xfId="0">
      <alignment horizontal="right" vertical="center" wrapText="1"/>
    </xf>
    <xf numFmtId="165" fontId="12" fillId="8" borderId="6" applyAlignment="1" pivotButton="0" quotePrefix="0" xfId="0">
      <alignment horizontal="right" vertical="center" wrapText="1"/>
    </xf>
    <xf numFmtId="164" fontId="11" fillId="9" borderId="6" applyAlignment="1" pivotButton="0" quotePrefix="0" xfId="0">
      <alignment horizontal="right" vertical="center" wrapText="1"/>
    </xf>
    <xf numFmtId="164" fontId="15" fillId="15" borderId="6" applyAlignment="1" pivotButton="0" quotePrefix="0" xfId="0">
      <alignment horizontal="right" vertical="center" wrapText="1"/>
    </xf>
    <xf numFmtId="3" fontId="11" fillId="9" borderId="6" applyAlignment="1" pivotButton="0" quotePrefix="0" xfId="0">
      <alignment horizontal="right" vertical="center" wrapText="1"/>
    </xf>
    <xf numFmtId="0" fontId="16" fillId="6" borderId="6" applyAlignment="1" pivotButton="0" quotePrefix="0" xfId="0">
      <alignment horizontal="left" vertical="center" wrapText="1"/>
    </xf>
    <xf numFmtId="0" fontId="13" fillId="16" borderId="6" applyAlignment="1" pivotButton="0" quotePrefix="0" xfId="0">
      <alignment horizontal="center" vertical="center" wrapText="1"/>
    </xf>
    <xf numFmtId="0" fontId="17" fillId="0" borderId="6" applyAlignment="1" pivotButton="0" quotePrefix="0" xfId="0">
      <alignment horizontal="left" vertical="center" wrapText="1"/>
    </xf>
    <xf numFmtId="0" fontId="18" fillId="0" borderId="6" applyAlignment="1" pivotButton="0" quotePrefix="0" xfId="0">
      <alignment horizontal="left" vertical="center" wrapText="1"/>
    </xf>
    <xf numFmtId="164" fontId="15" fillId="9" borderId="6" applyAlignment="1" pivotButton="0" quotePrefix="0" xfId="0">
      <alignment horizontal="right" vertical="center" wrapText="1"/>
    </xf>
    <xf numFmtId="0" fontId="17" fillId="0" borderId="6" applyAlignment="1" pivotButton="0" quotePrefix="0" xfId="0">
      <alignment horizontal="center" vertical="center" wrapText="1"/>
    </xf>
    <xf numFmtId="0" fontId="17" fillId="14" borderId="6" applyAlignment="1" pivotButton="0" quotePrefix="0" xfId="0">
      <alignment horizontal="center" vertical="center" wrapText="1"/>
    </xf>
    <xf numFmtId="0" fontId="17" fillId="14" borderId="6" applyAlignment="1" pivotButton="0" quotePrefix="0" xfId="0">
      <alignment horizontal="right" vertical="center" wrapText="1"/>
    </xf>
    <xf numFmtId="0" fontId="16" fillId="16" borderId="6" applyAlignment="1" pivotButton="0" quotePrefix="0" xfId="0">
      <alignment horizontal="left" vertical="center" wrapText="1"/>
    </xf>
    <xf numFmtId="164" fontId="15" fillId="14" borderId="6" applyAlignment="1" pivotButton="0" quotePrefix="0" xfId="0">
      <alignment horizontal="right" vertical="center" wrapText="1"/>
    </xf>
    <xf numFmtId="164" fontId="11" fillId="9" borderId="6" applyAlignment="1" pivotButton="0" quotePrefix="0" xfId="0">
      <alignment vertical="center" wrapText="1"/>
    </xf>
    <xf numFmtId="3" fontId="11" fillId="9" borderId="6" applyAlignment="1" pivotButton="0" quotePrefix="0" xfId="0">
      <alignment vertical="center" wrapText="1"/>
    </xf>
    <xf numFmtId="0" fontId="0" fillId="13" borderId="6" pivotButton="0" quotePrefix="0" xfId="0"/>
    <xf numFmtId="0" fontId="4" fillId="6" borderId="6" applyAlignment="1" pivotButton="0" quotePrefix="0" xfId="0">
      <alignment horizontal="left" vertical="center" wrapText="1"/>
    </xf>
    <xf numFmtId="164" fontId="20" fillId="17" borderId="6" applyAlignment="1" pivotButton="0" quotePrefix="0" xfId="0">
      <alignment horizontal="right" vertical="center" wrapText="1"/>
    </xf>
    <xf numFmtId="0" fontId="0" fillId="17" borderId="6" pivotButton="0" quotePrefix="0" xfId="0"/>
    <xf numFmtId="164" fontId="20" fillId="18" borderId="6" applyAlignment="1" pivotButton="0" quotePrefix="0" xfId="0">
      <alignment horizontal="right" vertical="center" wrapText="1"/>
    </xf>
    <xf numFmtId="0" fontId="0" fillId="18" borderId="6" pivotButton="0" quotePrefix="0" xfId="0"/>
    <xf numFmtId="4" fontId="11" fillId="9" borderId="6" applyAlignment="1" pivotButton="0" quotePrefix="0" xfId="0">
      <alignment horizontal="right" vertical="center" wrapText="1"/>
    </xf>
    <xf numFmtId="0" fontId="22" fillId="20" borderId="11" applyAlignment="1" pivotButton="0" quotePrefix="0" xfId="0">
      <alignment horizontal="center" vertical="center" wrapText="1"/>
    </xf>
    <xf numFmtId="0" fontId="11" fillId="0" borderId="11" applyAlignment="1" pivotButton="0" quotePrefix="0" xfId="0">
      <alignment horizontal="center" vertical="center" wrapText="1"/>
    </xf>
    <xf numFmtId="0" fontId="11" fillId="0" borderId="11" applyAlignment="1" pivotButton="0" quotePrefix="0" xfId="0">
      <alignment horizontal="left" vertical="center" wrapText="1"/>
    </xf>
    <xf numFmtId="4" fontId="23" fillId="21" borderId="11" applyAlignment="1" pivotButton="0" quotePrefix="0" xfId="0">
      <alignment horizontal="right" vertical="center"/>
    </xf>
    <xf numFmtId="0" fontId="2" fillId="0" borderId="11" applyAlignment="1" pivotButton="0" quotePrefix="0" xfId="0">
      <alignment horizontal="left" vertical="center" wrapText="1"/>
    </xf>
    <xf numFmtId="4" fontId="23" fillId="7" borderId="11" applyAlignment="1" pivotButton="0" quotePrefix="0" xfId="0">
      <alignment horizontal="right" vertical="center"/>
    </xf>
    <xf numFmtId="4" fontId="23" fillId="22" borderId="11" applyAlignment="1" pivotButton="0" quotePrefix="0" xfId="0">
      <alignment horizontal="right" vertical="center"/>
    </xf>
    <xf numFmtId="4" fontId="15" fillId="21" borderId="11" applyAlignment="1" pivotButton="0" quotePrefix="0" xfId="0">
      <alignment horizontal="right" vertical="center"/>
    </xf>
    <xf numFmtId="4" fontId="11" fillId="22" borderId="11" applyAlignment="1" pivotButton="0" quotePrefix="0" xfId="0">
      <alignment horizontal="right" vertical="center"/>
    </xf>
    <xf numFmtId="4" fontId="11" fillId="21" borderId="11" applyAlignment="1" pivotButton="0" quotePrefix="0" xfId="0">
      <alignment horizontal="right" vertical="center"/>
    </xf>
    <xf numFmtId="4" fontId="11" fillId="7" borderId="11" applyAlignment="1" pivotButton="0" quotePrefix="0" xfId="0">
      <alignment horizontal="right" vertical="center"/>
    </xf>
    <xf numFmtId="4" fontId="15" fillId="22" borderId="11" applyAlignment="1" pivotButton="0" quotePrefix="0" xfId="0">
      <alignment horizontal="right" vertical="center"/>
    </xf>
    <xf numFmtId="4" fontId="15" fillId="7" borderId="11" applyAlignment="1" pivotButton="0" quotePrefix="0" xfId="0">
      <alignment horizontal="right" vertical="center"/>
    </xf>
    <xf numFmtId="0" fontId="14" fillId="0" borderId="11" applyAlignment="1" pivotButton="0" quotePrefix="0" xfId="0">
      <alignment horizontal="left" vertical="center" wrapText="1"/>
    </xf>
    <xf numFmtId="4" fontId="14" fillId="22" borderId="11" applyAlignment="1" pivotButton="0" quotePrefix="0" xfId="0">
      <alignment horizontal="right" vertical="center"/>
    </xf>
    <xf numFmtId="4" fontId="14" fillId="21" borderId="11" applyAlignment="1" pivotButton="0" quotePrefix="0" xfId="0">
      <alignment horizontal="right" vertical="center"/>
    </xf>
    <xf numFmtId="4" fontId="14" fillId="7" borderId="11" applyAlignment="1" pivotButton="0" quotePrefix="0" xfId="0">
      <alignment horizontal="right" vertical="center"/>
    </xf>
    <xf numFmtId="4" fontId="24" fillId="23" borderId="11" applyAlignment="1" pivotButton="0" quotePrefix="0" xfId="0">
      <alignment horizontal="center" vertical="center" wrapText="1"/>
    </xf>
    <xf numFmtId="0" fontId="5" fillId="0" borderId="11" applyAlignment="1" pivotButton="0" quotePrefix="0" xfId="0">
      <alignment horizontal="left" vertical="center" wrapText="1"/>
    </xf>
    <xf numFmtId="0" fontId="14" fillId="0" borderId="11" applyAlignment="1" pivotButton="0" quotePrefix="0" xfId="0">
      <alignment horizontal="center" vertical="center" wrapText="1"/>
    </xf>
    <xf numFmtId="4" fontId="25" fillId="23" borderId="11" applyAlignment="1" pivotButton="0" quotePrefix="0" xfId="0">
      <alignment horizontal="center" vertical="center" wrapText="1"/>
    </xf>
    <xf numFmtId="165" fontId="23" fillId="21" borderId="11" applyAlignment="1" pivotButton="0" quotePrefix="0" xfId="0">
      <alignment horizontal="right" vertical="center"/>
    </xf>
    <xf numFmtId="165" fontId="23" fillId="7" borderId="11" applyAlignment="1" pivotButton="0" quotePrefix="0" xfId="0">
      <alignment horizontal="right" vertical="center"/>
    </xf>
    <xf numFmtId="164" fontId="11" fillId="22" borderId="11" applyAlignment="1" pivotButton="0" quotePrefix="0" xfId="0">
      <alignment horizontal="right" vertical="center"/>
    </xf>
    <xf numFmtId="164" fontId="11" fillId="21" borderId="11" applyAlignment="1" pivotButton="0" quotePrefix="0" xfId="0">
      <alignment horizontal="right" vertical="center"/>
    </xf>
    <xf numFmtId="164" fontId="11" fillId="7" borderId="11" applyAlignment="1" pivotButton="0" quotePrefix="0" xfId="0">
      <alignment horizontal="right" vertical="center"/>
    </xf>
    <xf numFmtId="3" fontId="23" fillId="21" borderId="11" applyAlignment="1" pivotButton="0" quotePrefix="0" xfId="0">
      <alignment horizontal="right" vertical="center"/>
    </xf>
    <xf numFmtId="3" fontId="23" fillId="7" borderId="11" applyAlignment="1" pivotButton="0" quotePrefix="0" xfId="0">
      <alignment horizontal="right" vertical="center"/>
    </xf>
    <xf numFmtId="165" fontId="14" fillId="22" borderId="11" applyAlignment="1" pivotButton="0" quotePrefix="0" xfId="0">
      <alignment horizontal="right" vertical="center"/>
    </xf>
    <xf numFmtId="165" fontId="14" fillId="21" borderId="11" applyAlignment="1" pivotButton="0" quotePrefix="0" xfId="0">
      <alignment horizontal="right" vertical="center"/>
    </xf>
    <xf numFmtId="165" fontId="14" fillId="7" borderId="11" applyAlignment="1" pivotButton="0" quotePrefix="0" xfId="0">
      <alignment horizontal="right" vertical="center"/>
    </xf>
    <xf numFmtId="164" fontId="14" fillId="22" borderId="11" applyAlignment="1" pivotButton="0" quotePrefix="0" xfId="0">
      <alignment horizontal="right" vertical="center"/>
    </xf>
    <xf numFmtId="164" fontId="14" fillId="21" borderId="11" applyAlignment="1" pivotButton="0" quotePrefix="0" xfId="0">
      <alignment horizontal="right" vertical="center"/>
    </xf>
    <xf numFmtId="164" fontId="14" fillId="7" borderId="11" applyAlignment="1" pivotButton="0" quotePrefix="0" xfId="0">
      <alignment horizontal="right" vertical="center"/>
    </xf>
    <xf numFmtId="49" fontId="14" fillId="22" borderId="11" applyAlignment="1" pivotButton="0" quotePrefix="0" xfId="0">
      <alignment horizontal="right" vertical="center"/>
    </xf>
    <xf numFmtId="49" fontId="14" fillId="21" borderId="11" applyAlignment="1" pivotButton="0" quotePrefix="0" xfId="0">
      <alignment horizontal="right" vertical="center"/>
    </xf>
    <xf numFmtId="49" fontId="14" fillId="7" borderId="11" applyAlignment="1" pivotButton="0" quotePrefix="0" xfId="0">
      <alignment horizontal="right" vertical="center"/>
    </xf>
    <xf numFmtId="164" fontId="11" fillId="9" borderId="6" applyAlignment="1" pivotButton="0" quotePrefix="0" xfId="0">
      <alignment horizontal="right" vertical="center"/>
    </xf>
    <xf numFmtId="9" fontId="12" fillId="8" borderId="6" applyAlignment="1" pivotButton="0" quotePrefix="0" xfId="0">
      <alignment horizontal="right" vertical="center"/>
    </xf>
    <xf numFmtId="3" fontId="12" fillId="8" borderId="6" applyAlignment="1" pivotButton="0" quotePrefix="0" xfId="0">
      <alignment horizontal="right" vertical="center"/>
    </xf>
    <xf numFmtId="1" fontId="28" fillId="16" borderId="6" applyAlignment="1" pivotButton="0" quotePrefix="0" xfId="0">
      <alignment horizontal="center" vertical="center" wrapText="1"/>
    </xf>
    <xf numFmtId="0" fontId="11" fillId="6" borderId="6" applyAlignment="1" pivotButton="0" quotePrefix="0" xfId="0">
      <alignment horizontal="left" vertical="center" wrapText="1"/>
    </xf>
    <xf numFmtId="164" fontId="20" fillId="24" borderId="12" applyAlignment="1" pivotButton="0" quotePrefix="0" xfId="0">
      <alignment horizontal="right" vertical="center"/>
    </xf>
    <xf numFmtId="0" fontId="11" fillId="24" borderId="6" applyAlignment="1" pivotButton="0" quotePrefix="0" xfId="0">
      <alignment horizontal="left" vertical="center" wrapText="1"/>
    </xf>
    <xf numFmtId="0" fontId="4" fillId="12" borderId="6" applyAlignment="1" pivotButton="0" quotePrefix="0" xfId="0">
      <alignment horizontal="center" vertical="center" wrapText="1"/>
    </xf>
    <xf numFmtId="0" fontId="5" fillId="12" borderId="6" applyAlignment="1" pivotButton="0" quotePrefix="0" xfId="0">
      <alignment horizontal="left" vertical="center" wrapText="1"/>
    </xf>
    <xf numFmtId="165" fontId="11" fillId="9" borderId="6" applyAlignment="1" pivotButton="0" quotePrefix="0" xfId="0">
      <alignment horizontal="right" vertical="center"/>
    </xf>
    <xf numFmtId="0" fontId="11" fillId="12" borderId="6" applyAlignment="1" pivotButton="0" quotePrefix="0" xfId="0">
      <alignment horizontal="left" vertical="center" wrapText="1"/>
    </xf>
    <xf numFmtId="0" fontId="4" fillId="6" borderId="6" applyAlignment="1" pivotButton="0" quotePrefix="0" xfId="0">
      <alignment horizontal="center" vertical="center" wrapText="1"/>
    </xf>
    <xf numFmtId="0" fontId="31" fillId="25" borderId="11" applyAlignment="1" pivotButton="0" quotePrefix="0" xfId="0">
      <alignment horizontal="center" vertical="center"/>
    </xf>
    <xf numFmtId="0" fontId="31" fillId="22" borderId="11" applyAlignment="1" pivotButton="0" quotePrefix="0" xfId="0">
      <alignment horizontal="left" vertical="center"/>
    </xf>
    <xf numFmtId="3" fontId="32" fillId="22" borderId="11" applyAlignment="1" pivotButton="0" quotePrefix="0" xfId="0">
      <alignment horizontal="right" vertical="center"/>
    </xf>
    <xf numFmtId="0" fontId="31" fillId="21" borderId="11" applyAlignment="1" pivotButton="0" quotePrefix="0" xfId="0">
      <alignment horizontal="left" vertical="center"/>
    </xf>
    <xf numFmtId="3" fontId="32" fillId="21" borderId="11" applyAlignment="1" pivotButton="0" quotePrefix="0" xfId="0">
      <alignment horizontal="right" vertical="center"/>
    </xf>
    <xf numFmtId="0" fontId="31" fillId="7" borderId="11" applyAlignment="1" pivotButton="0" quotePrefix="0" xfId="0">
      <alignment horizontal="left" vertical="center"/>
    </xf>
    <xf numFmtId="3" fontId="32" fillId="7" borderId="11" applyAlignment="1" pivotButton="0" quotePrefix="0" xfId="0">
      <alignment horizontal="right" vertical="center"/>
    </xf>
    <xf numFmtId="0" fontId="33" fillId="19" borderId="11" applyAlignment="1" pivotButton="0" quotePrefix="0" xfId="0">
      <alignment horizontal="left" vertical="center"/>
    </xf>
    <xf numFmtId="165" fontId="31" fillId="22" borderId="11" applyAlignment="1" pivotButton="0" quotePrefix="0" xfId="0">
      <alignment horizontal="right" vertical="center"/>
    </xf>
    <xf numFmtId="165" fontId="31" fillId="21" borderId="11" applyAlignment="1" pivotButton="0" quotePrefix="0" xfId="0">
      <alignment horizontal="right" vertical="center"/>
    </xf>
    <xf numFmtId="165" fontId="31" fillId="7" borderId="11" applyAlignment="1" pivotButton="0" quotePrefix="0" xfId="0">
      <alignment horizontal="right" vertical="center"/>
    </xf>
    <xf numFmtId="0" fontId="0" fillId="25" borderId="11" pivotButton="0" quotePrefix="0" xfId="0"/>
    <xf numFmtId="0" fontId="34" fillId="0" borderId="0" pivotButton="0" quotePrefix="0" xfId="0"/>
    <xf numFmtId="164" fontId="0" fillId="0" borderId="0" pivotButton="0" quotePrefix="0" xfId="0"/>
    <xf numFmtId="166" fontId="0" fillId="0" borderId="0" pivotButton="0" quotePrefix="0" xfId="0"/>
    <xf numFmtId="3" fontId="0" fillId="0" borderId="0" pivotButton="0" quotePrefix="0" xfId="0"/>
    <xf numFmtId="165" fontId="0" fillId="0" borderId="0" pivotButton="0" quotePrefix="0" xfId="0"/>
    <xf numFmtId="164" fontId="12" fillId="26" borderId="2" applyAlignment="1" pivotButton="0" quotePrefix="0" xfId="0">
      <alignment horizontal="right" vertical="center" wrapText="1"/>
    </xf>
    <xf numFmtId="165" fontId="23" fillId="28" borderId="11" applyAlignment="1" pivotButton="0" quotePrefix="0" xfId="0">
      <alignment horizontal="right" vertical="center"/>
    </xf>
    <xf numFmtId="4" fontId="23" fillId="28" borderId="11" applyAlignment="1" pivotButton="0" quotePrefix="0" xfId="0">
      <alignment horizontal="right" vertical="center"/>
    </xf>
    <xf numFmtId="3" fontId="23" fillId="28" borderId="11" applyAlignment="1" pivotButton="0" quotePrefix="0" xfId="0">
      <alignment horizontal="right" vertical="center"/>
    </xf>
    <xf numFmtId="4" fontId="23" fillId="29" borderId="11" applyAlignment="1" pivotButton="0" quotePrefix="0" xfId="0">
      <alignment horizontal="right" vertical="center"/>
    </xf>
    <xf numFmtId="4" fontId="23" fillId="30" borderId="11" applyAlignment="1" pivotButton="0" quotePrefix="0" xfId="0">
      <alignment horizontal="right" vertical="center"/>
    </xf>
    <xf numFmtId="4" fontId="23" fillId="31" borderId="11" applyAlignment="1" pivotButton="0" quotePrefix="0" xfId="0">
      <alignment horizontal="right" vertical="center"/>
    </xf>
    <xf numFmtId="4" fontId="11" fillId="32" borderId="11" applyAlignment="1" pivotButton="0" quotePrefix="0" xfId="0">
      <alignment horizontal="right" vertical="center"/>
    </xf>
    <xf numFmtId="164" fontId="12" fillId="26" borderId="6" applyAlignment="1" pivotButton="0" quotePrefix="0" xfId="0">
      <alignment horizontal="right" vertical="center" wrapText="1"/>
    </xf>
    <xf numFmtId="3" fontId="8" fillId="33" borderId="2" applyAlignment="1" pivotButton="0" quotePrefix="0" xfId="0">
      <alignment horizontal="right" vertical="center" wrapText="1"/>
    </xf>
    <xf numFmtId="0" fontId="36" fillId="34" borderId="6" pivotButton="0" quotePrefix="0" xfId="0"/>
    <xf numFmtId="3" fontId="5" fillId="36" borderId="2" applyAlignment="1" pivotButton="0" quotePrefix="0" xfId="0">
      <alignment horizontal="right" vertical="center"/>
    </xf>
    <xf numFmtId="164" fontId="38" fillId="35" borderId="6" applyAlignment="1" pivotButton="0" quotePrefix="0" xfId="0">
      <alignment horizontal="right" vertical="center" wrapText="1"/>
    </xf>
    <xf numFmtId="0" fontId="39" fillId="37" borderId="2" applyAlignment="1" pivotButton="0" quotePrefix="0" xfId="0">
      <alignment horizontal="center" vertical="center" wrapText="1"/>
    </xf>
    <xf numFmtId="0" fontId="39" fillId="37" borderId="6" applyAlignment="1" pivotButton="0" quotePrefix="0" xfId="0">
      <alignment horizontal="center" vertical="center" wrapText="1"/>
    </xf>
    <xf numFmtId="0" fontId="40" fillId="38" borderId="6" applyAlignment="1" pivotButton="0" quotePrefix="0" xfId="0">
      <alignment horizontal="center" vertical="center" wrapText="1"/>
    </xf>
    <xf numFmtId="0" fontId="41" fillId="0" borderId="0" pivotButton="0" quotePrefix="0" xfId="0"/>
    <xf numFmtId="1" fontId="0" fillId="0" borderId="0" pivotButton="0" quotePrefix="0" xfId="0"/>
    <xf numFmtId="0" fontId="42" fillId="0" borderId="0" pivotButton="0" quotePrefix="0" xfId="0"/>
    <xf numFmtId="0" fontId="43" fillId="0" borderId="0" pivotButton="0" quotePrefix="0" xfId="0"/>
    <xf numFmtId="167" fontId="15" fillId="39" borderId="2" applyAlignment="1" pivotButton="0" quotePrefix="0" xfId="1">
      <alignment horizontal="right" vertical="center" wrapText="1"/>
    </xf>
    <xf numFmtId="9" fontId="23" fillId="22" borderId="11" applyAlignment="1" pivotButton="0" quotePrefix="0" xfId="0">
      <alignment horizontal="right" vertical="center"/>
    </xf>
    <xf numFmtId="9" fontId="23" fillId="30" borderId="11" applyAlignment="1" pivotButton="0" quotePrefix="0" xfId="0">
      <alignment horizontal="right" vertical="center"/>
    </xf>
    <xf numFmtId="9" fontId="23" fillId="7" borderId="11" applyAlignment="1" pivotButton="0" quotePrefix="0" xfId="0">
      <alignment horizontal="right" vertical="center"/>
    </xf>
    <xf numFmtId="3" fontId="23" fillId="27" borderId="11" applyAlignment="1" pivotButton="0" quotePrefix="0" xfId="0">
      <alignment horizontal="right" vertical="center"/>
    </xf>
    <xf numFmtId="3" fontId="23" fillId="29" borderId="11" applyAlignment="1" pivotButton="0" quotePrefix="0" xfId="0">
      <alignment horizontal="right" vertical="center"/>
    </xf>
    <xf numFmtId="4" fontId="15" fillId="40" borderId="11" applyAlignment="1" pivotButton="0" quotePrefix="0" xfId="0">
      <alignment horizontal="right" vertical="center"/>
    </xf>
    <xf numFmtId="4" fontId="15" fillId="41" borderId="11" applyAlignment="1" pivotButton="0" quotePrefix="0" xfId="0">
      <alignment horizontal="right" vertical="center"/>
    </xf>
    <xf numFmtId="0" fontId="44" fillId="0" borderId="0" pivotButton="0" quotePrefix="0" xfId="0"/>
    <xf numFmtId="9" fontId="23" fillId="27" borderId="11" applyAlignment="1" pivotButton="0" quotePrefix="0" xfId="0">
      <alignment horizontal="right" vertical="center"/>
    </xf>
    <xf numFmtId="9" fontId="23" fillId="21" borderId="11" applyAlignment="1" pivotButton="0" quotePrefix="0" xfId="0">
      <alignment horizontal="right" vertical="center"/>
    </xf>
    <xf numFmtId="0" fontId="15" fillId="14" borderId="6" applyAlignment="1" pivotButton="0" quotePrefix="0" xfId="0">
      <alignment horizontal="right" vertical="center" wrapText="1"/>
    </xf>
    <xf numFmtId="0" fontId="15" fillId="14" borderId="6" applyAlignment="1" pivotButton="0" quotePrefix="0" xfId="0">
      <alignment vertical="center" wrapText="1"/>
    </xf>
    <xf numFmtId="4" fontId="45" fillId="31" borderId="11" applyAlignment="1" pivotButton="0" quotePrefix="0" xfId="0">
      <alignment horizontal="right" vertical="center"/>
    </xf>
    <xf numFmtId="0" fontId="3" fillId="2" borderId="3" applyAlignment="1" pivotButton="0" quotePrefix="0" xfId="0">
      <alignment horizontal="left" vertical="center" wrapText="1"/>
    </xf>
    <xf numFmtId="0" fontId="7" fillId="8" borderId="1" applyAlignment="1" pivotButton="0" quotePrefix="0" xfId="0">
      <alignment horizontal="center" vertical="center" wrapText="1"/>
    </xf>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10" fillId="10" borderId="4" applyAlignment="1" pivotButton="0" quotePrefix="0" xfId="0">
      <alignment horizontal="left" vertical="center"/>
    </xf>
    <xf numFmtId="0" fontId="3" fillId="11" borderId="5" applyAlignment="1" pivotButton="0" quotePrefix="0" xfId="0">
      <alignment horizontal="left" vertical="center"/>
    </xf>
    <xf numFmtId="0" fontId="1" fillId="2" borderId="4" applyAlignment="1" pivotButton="0" quotePrefix="0" xfId="0">
      <alignment horizontal="center" vertical="center" wrapText="1"/>
    </xf>
    <xf numFmtId="0" fontId="9" fillId="9" borderId="4" applyAlignment="1" pivotButton="0" quotePrefix="0" xfId="0">
      <alignment horizontal="left" vertical="center"/>
    </xf>
    <xf numFmtId="0" fontId="21" fillId="13" borderId="8" applyAlignment="1" pivotButton="0" quotePrefix="0" xfId="0">
      <alignment horizontal="left" vertical="center" wrapText="1"/>
    </xf>
    <xf numFmtId="0" fontId="20" fillId="18" borderId="8" applyAlignment="1" pivotButton="0" quotePrefix="0" xfId="0">
      <alignment horizontal="left" vertical="center" wrapText="1"/>
    </xf>
    <xf numFmtId="0" fontId="21" fillId="6" borderId="8" applyAlignment="1" pivotButton="0" quotePrefix="0" xfId="0">
      <alignment horizontal="left" vertical="center" wrapText="1"/>
    </xf>
    <xf numFmtId="0" fontId="7" fillId="13" borderId="8" applyAlignment="1" pivotButton="0" quotePrefix="0" xfId="0">
      <alignment horizontal="left" vertical="center" wrapText="1"/>
    </xf>
    <xf numFmtId="0" fontId="19" fillId="17" borderId="8" applyAlignment="1" pivotButton="0" quotePrefix="0" xfId="0">
      <alignment horizontal="left" vertical="center" wrapText="1"/>
    </xf>
    <xf numFmtId="0" fontId="20" fillId="2" borderId="4" applyAlignment="1" pivotButton="0" quotePrefix="0" xfId="0">
      <alignment horizontal="left" vertical="center"/>
    </xf>
    <xf numFmtId="0" fontId="11" fillId="13" borderId="8" applyAlignment="1" pivotButton="0" quotePrefix="0" xfId="0">
      <alignment horizontal="left" vertical="center" wrapText="1"/>
    </xf>
    <xf numFmtId="0" fontId="38" fillId="34" borderId="8" applyAlignment="1" pivotButton="0" quotePrefix="0" xfId="0">
      <alignment horizontal="left" vertical="center" wrapText="1"/>
    </xf>
    <xf numFmtId="0" fontId="3" fillId="11" borderId="8" applyAlignment="1" pivotButton="0" quotePrefix="0" xfId="0">
      <alignment horizontal="left" vertical="center"/>
    </xf>
    <xf numFmtId="0" fontId="6" fillId="6" borderId="6" applyAlignment="1" pivotButton="0" quotePrefix="0" xfId="0">
      <alignment horizontal="left" vertical="center" wrapText="1"/>
    </xf>
    <xf numFmtId="0" fontId="3" fillId="4" borderId="7" applyAlignment="1" pivotButton="0" quotePrefix="0" xfId="0">
      <alignment horizontal="center" vertical="center" wrapText="1"/>
    </xf>
    <xf numFmtId="0" fontId="30" fillId="23" borderId="13" applyAlignment="1" pivotButton="0" quotePrefix="0" xfId="0">
      <alignment horizontal="left" vertical="center"/>
    </xf>
    <xf numFmtId="0" fontId="9" fillId="9" borderId="4" applyAlignment="1" pivotButton="0" quotePrefix="0" xfId="0">
      <alignment horizontal="center" vertical="center"/>
    </xf>
    <xf numFmtId="0" fontId="9" fillId="9" borderId="14" applyAlignment="1" pivotButton="0" quotePrefix="0" xfId="0">
      <alignment horizontal="center" vertical="center"/>
    </xf>
    <xf numFmtId="0" fontId="9" fillId="9" borderId="15" applyAlignment="1" pivotButton="0" quotePrefix="0" xfId="0">
      <alignment horizontal="center" vertical="center"/>
    </xf>
    <xf numFmtId="0" fontId="3" fillId="11" borderId="8" applyAlignment="1" pivotButton="0" quotePrefix="0" xfId="0">
      <alignment horizontal="left" vertical="center" wrapText="1"/>
    </xf>
    <xf numFmtId="0" fontId="20" fillId="24" borderId="12" applyAlignment="1" pivotButton="0" quotePrefix="0" xfId="0">
      <alignment horizontal="left" vertical="center" wrapText="1"/>
    </xf>
    <xf numFmtId="0" fontId="10" fillId="10" borderId="4" applyAlignment="1" pivotButton="0" quotePrefix="0" xfId="0">
      <alignment horizontal="left" vertical="center" wrapText="1"/>
    </xf>
    <xf numFmtId="0" fontId="29" fillId="19" borderId="10" applyAlignment="1" pivotButton="0" quotePrefix="0" xfId="0">
      <alignment horizontal="left" vertical="center"/>
    </xf>
    <xf numFmtId="0" fontId="27" fillId="3" borderId="4" applyAlignment="1" pivotButton="0" quotePrefix="0" xfId="0">
      <alignment horizontal="left" vertical="center" wrapText="1"/>
    </xf>
    <xf numFmtId="0" fontId="19" fillId="19" borderId="10" applyAlignment="1" pivotButton="0" quotePrefix="0" xfId="0">
      <alignment horizontal="left" vertical="center" wrapText="1"/>
    </xf>
    <xf numFmtId="0" fontId="26" fillId="2" borderId="4" applyAlignment="1" pivotButton="0" quotePrefix="0" xfId="0">
      <alignment horizontal="center" vertical="center" wrapText="1"/>
    </xf>
    <xf numFmtId="0" fontId="9" fillId="9" borderId="4" applyAlignment="1" pivotButton="0" quotePrefix="0" xfId="0">
      <alignment horizontal="left" vertical="center" wrapText="1"/>
    </xf>
    <xf numFmtId="0" fontId="1" fillId="17" borderId="9" applyAlignment="1" pivotButton="0" quotePrefix="0" xfId="0">
      <alignment horizontal="center" vertical="center" wrapText="1"/>
    </xf>
    <xf numFmtId="0" fontId="0" fillId="0" borderId="17" pivotButton="0" quotePrefix="0" xfId="0"/>
    <xf numFmtId="0" fontId="0" fillId="0" borderId="14" pivotButton="0" quotePrefix="0" xfId="0"/>
    <xf numFmtId="167" fontId="15" fillId="39" borderId="2" applyAlignment="1" pivotButton="0" quotePrefix="0" xfId="1">
      <alignment horizontal="right" vertical="center" wrapText="1"/>
    </xf>
    <xf numFmtId="0" fontId="0" fillId="0" borderId="20" pivotButton="0" quotePrefix="0" xfId="0"/>
    <xf numFmtId="0" fontId="0" fillId="0" borderId="21" pivotButton="0" quotePrefix="0" xfId="0"/>
    <xf numFmtId="0" fontId="0" fillId="0" borderId="24" pivotButton="0" quotePrefix="0" xfId="0"/>
    <xf numFmtId="0" fontId="0" fillId="0" borderId="25" pivotButton="0" quotePrefix="0" xfId="0"/>
    <xf numFmtId="165" fontId="12" fillId="8" borderId="6" applyAlignment="1" pivotButton="0" quotePrefix="0" xfId="0">
      <alignment horizontal="right" vertical="center" wrapText="1"/>
    </xf>
    <xf numFmtId="0" fontId="9" fillId="9" borderId="12" applyAlignment="1" pivotButton="0" quotePrefix="0" xfId="0">
      <alignment horizontal="center" vertical="center"/>
    </xf>
    <xf numFmtId="0" fontId="0" fillId="0" borderId="15" pivotButton="0" quotePrefix="0" xfId="0"/>
    <xf numFmtId="0" fontId="0" fillId="0" borderId="27" pivotButton="0" quotePrefix="0" xfId="0"/>
    <xf numFmtId="165" fontId="23" fillId="28" borderId="11" applyAlignment="1" pivotButton="0" quotePrefix="0" xfId="0">
      <alignment horizontal="right" vertical="center"/>
    </xf>
    <xf numFmtId="165" fontId="23" fillId="21" borderId="11" applyAlignment="1" pivotButton="0" quotePrefix="0" xfId="0">
      <alignment horizontal="right" vertical="center"/>
    </xf>
    <xf numFmtId="165" fontId="23" fillId="7" borderId="11" applyAlignment="1" pivotButton="0" quotePrefix="0" xfId="0">
      <alignment horizontal="right" vertical="center"/>
    </xf>
    <xf numFmtId="165" fontId="14" fillId="22" borderId="11" applyAlignment="1" pivotButton="0" quotePrefix="0" xfId="0">
      <alignment horizontal="right" vertical="center"/>
    </xf>
    <xf numFmtId="165" fontId="14" fillId="21" borderId="11" applyAlignment="1" pivotButton="0" quotePrefix="0" xfId="0">
      <alignment horizontal="right" vertical="center"/>
    </xf>
    <xf numFmtId="165" fontId="14" fillId="7" borderId="11" applyAlignment="1" pivotButton="0" quotePrefix="0" xfId="0">
      <alignment horizontal="right" vertical="center"/>
    </xf>
    <xf numFmtId="165" fontId="11" fillId="9" borderId="6" applyAlignment="1" pivotButton="0" quotePrefix="0" xfId="0">
      <alignment horizontal="right" vertical="center"/>
    </xf>
    <xf numFmtId="0" fontId="0" fillId="0" borderId="29" pivotButton="0" quotePrefix="0" xfId="0"/>
    <xf numFmtId="165" fontId="31" fillId="22" borderId="11" applyAlignment="1" pivotButton="0" quotePrefix="0" xfId="0">
      <alignment horizontal="right" vertical="center"/>
    </xf>
    <xf numFmtId="165" fontId="31" fillId="21" borderId="11" applyAlignment="1" pivotButton="0" quotePrefix="0" xfId="0">
      <alignment horizontal="right" vertical="center"/>
    </xf>
    <xf numFmtId="165" fontId="31" fillId="7" borderId="11" applyAlignment="1" pivotButton="0" quotePrefix="0" xfId="0">
      <alignment horizontal="right" vertical="center"/>
    </xf>
    <xf numFmtId="166" fontId="0" fillId="0" borderId="0" pivotButton="0" quotePrefix="0" xfId="0"/>
    <xf numFmtId="165" fontId="0" fillId="0" borderId="0" pivotButton="0" quotePrefix="0" xfId="0"/>
  </cellXfs>
  <cellStyles count="2">
    <cellStyle name="Normal" xfId="0" builtinId="0"/>
    <cellStyle name="Comma" xfId="1" builtinId="3"/>
  </cellStyles>
  <tableStyles count="0" defaultTableStyle="TableStyleMedium2" defaultPivotStyle="PivotStyleLight16"/>
  <colors>
    <indexedColors>
      <rgbColor rgb="FF000000"/>
      <rgbColor rgb="FFFFFFFF"/>
      <rgbColor rgb="FFFF0000"/>
      <rgbColor rgb="FF00FF00"/>
      <rgbColor rgb="FF0000FF"/>
      <rgbColor rgb="FFE2EFDA"/>
      <rgbColor rgb="FFFF00FF"/>
      <rgbColor rgb="FFE8F8E8"/>
      <rgbColor rgb="FF5D1A1A"/>
      <rgbColor rgb="FF006600"/>
      <rgbColor rgb="FF000080"/>
      <rgbColor rgb="FFF0F0F0"/>
      <rgbColor rgb="FF800080"/>
      <rgbColor rgb="FF0096D6"/>
      <rgbColor rgb="FFBBBBBB"/>
      <rgbColor rgb="FF888888"/>
      <rgbColor rgb="FFD6E4F0"/>
      <rgbColor rgb="FFC0504D"/>
      <rgbColor rgb="FFFFF3CD"/>
      <rgbColor rgb="FFD5F5E3"/>
      <rgbColor rgb="FF660066"/>
      <rgbColor rgb="FFE8E8E8"/>
      <rgbColor rgb="FF1A5276"/>
      <rgbColor rgb="FFBDD7EE"/>
      <rgbColor rgb="FF000080"/>
      <rgbColor rgb="FFFF00FF"/>
      <rgbColor rgb="FFEBF1DE"/>
      <rgbColor rgb="FFF2F2F2"/>
      <rgbColor rgb="FF800080"/>
      <rgbColor rgb="FF800000"/>
      <rgbColor rgb="FF4F81BD"/>
      <rgbColor rgb="FF0000FF"/>
      <rgbColor rgb="FF00CCFF"/>
      <rgbColor rgb="FFD9EAF8"/>
      <rgbColor rgb="FFD0F5D0"/>
      <rgbColor rgb="FFFFF2CC"/>
      <rgbColor rgb="FFCCCCCC"/>
      <rgbColor rgb="FFDDDDDD"/>
      <rgbColor rgb="FFD9D9D9"/>
      <rgbColor rgb="FFFCE4D6"/>
      <rgbColor rgb="FF2E75B6"/>
      <rgbColor rgb="FFE8F4E8"/>
      <rgbColor rgb="FF9BBB59"/>
      <rgbColor rgb="FFE6E6E6"/>
      <rgbColor rgb="FFEBF3E8"/>
      <rgbColor rgb="FFF5F5F5"/>
      <rgbColor rgb="FF595959"/>
      <rgbColor rgb="FFAAAAAA"/>
      <rgbColor rgb="FF1F3864"/>
      <rgbColor rgb="FF1E8449"/>
      <rgbColor rgb="FF21435A"/>
      <rgbColor rgb="FF444444"/>
      <rgbColor rgb="FFC0392B"/>
      <rgbColor rgb="FF555555"/>
      <rgbColor rgb="FF2E4057"/>
      <rgbColor rgb="FF40404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lang="en-US" sz="1400" b="0" strike="noStrike" spc="-1">
                <a:solidFill>
                  <a:srgbClr val="595959"/>
                </a:solidFill>
                <a:latin typeface="Calibri"/>
              </a:defRPr>
            </a:pPr>
            <a:r>
              <a:rPr lang="en-US" sz="1400" b="0" strike="noStrike" spc="-1">
                <a:solidFill>
                  <a:srgbClr val="595959"/>
                </a:solidFill>
                <a:latin typeface="Calibri"/>
              </a:rPr>
              <a:t>Profit</a:t>
            </a:r>
            <a:r>
              <a:rPr lang="en-US" sz="1400" b="0" strike="noStrike" spc="-1" baseline="0">
                <a:solidFill>
                  <a:srgbClr val="595959"/>
                </a:solidFill>
                <a:latin typeface="Calibri"/>
              </a:rPr>
              <a:t xml:space="preserve"> Bersih</a:t>
            </a:r>
            <a:r>
              <a:rPr lang="en-US" sz="1400" b="0" strike="noStrike" spc="-1">
                <a:solidFill>
                  <a:srgbClr val="595959"/>
                </a:solidFill>
                <a:latin typeface="Calibri"/>
              </a:rPr>
              <a:t xml:space="preserve"> Tahunan KDKMP (</a:t>
            </a:r>
            <a:r>
              <a:rPr lang="en-US" sz="1400" b="0" strike="noStrike" spc="-1" baseline="0">
                <a:solidFill>
                  <a:srgbClr val="595959"/>
                </a:solidFill>
                <a:latin typeface="Calibri"/>
              </a:rPr>
              <a:t>Listrik dan EaaS)</a:t>
            </a:r>
            <a:endParaRPr lang="en-US" sz="1400" b="0" strike="noStrike" spc="-1">
              <a:solidFill>
                <a:srgbClr val="595959"/>
              </a:solidFill>
              <a:latin typeface="Calibri"/>
            </a:endParaRPr>
          </a:p>
        </rich>
      </tx>
      <overlay val="0"/>
      <spPr>
        <a:noFill xmlns:a="http://schemas.openxmlformats.org/drawingml/2006/main"/>
        <a:ln xmlns:a="http://schemas.openxmlformats.org/drawingml/2006/main" w="0">
          <a:noFill/>
          <a:prstDash val="solid"/>
        </a:ln>
      </spPr>
    </title>
    <plotArea>
      <layout/>
      <barChart>
        <barDir val="col"/>
        <grouping val="stacked"/>
        <varyColors val="0"/>
        <ser>
          <idx val="0"/>
          <order val="0"/>
          <tx>
            <strRef>
              <f>'Summary &amp; Graphs'!$A$4</f>
              <strCache>
                <ptCount val="1"/>
                <pt idx="0">
                  <v>Penjualan listrik ke anggota koperasi</v>
                </pt>
              </strCache>
            </strRef>
          </tx>
          <spPr>
            <a:solidFill xmlns:a="http://schemas.openxmlformats.org/drawingml/2006/main">
              <a:srgbClr val="4F81BD"/>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en-US"/>
              </a:p>
            </txPr>
            <dLblPos val="ctr"/>
            <showLegendKey val="0"/>
            <showVal val="0"/>
            <showCatName val="0"/>
            <showSerName val="0"/>
            <showPercent val="0"/>
            <showBubbleSize val="1"/>
            <showLeaderLines val="0"/>
          </dLbls>
          <cat>
            <strRef>
              <f>'Summary &amp; Graphs'!$B$3:$D$3</f>
              <strCache>
                <ptCount val="3"/>
                <pt idx="0">
                  <v>Model 1</v>
                </pt>
                <pt idx="1">
                  <v>Model 2</v>
                </pt>
                <pt idx="2">
                  <v>Model 3</v>
                </pt>
              </strCache>
            </strRef>
          </cat>
          <val>
            <numRef>
              <f>'Summary &amp; Graphs'!$B$4:$D$4</f>
              <numCache>
                <formatCode>#,##0.0</formatCode>
                <ptCount val="3"/>
                <pt idx="0">
                  <v>308.144144</v>
                </pt>
                <pt idx="1">
                  <v>880.41184</v>
                </pt>
                <pt idx="2">
                  <v>436.832</v>
                </pt>
              </numCache>
            </numRef>
          </val>
        </ser>
        <ser>
          <idx val="1"/>
          <order val="1"/>
          <tx>
            <strRef>
              <f>'Summary &amp; Graphs'!$A$5</f>
              <strCache>
                <ptCount val="1"/>
                <pt idx="0">
                  <v>Penjualan listrik ke PLN</v>
                </pt>
              </strCache>
            </strRef>
          </tx>
          <spPr>
            <a:solidFill xmlns:a="http://schemas.openxmlformats.org/drawingml/2006/main">
              <a:srgbClr val="C0504D"/>
            </a:solidFill>
            <a:ln xmlns:a="http://schemas.openxmlformats.org/drawingml/2006/main" w="0">
              <a:noFill/>
              <a:prstDash val="solid"/>
            </a:ln>
          </spPr>
          <invertIfNegative val="0"/>
          <dPt>
            <idx val="0"/>
            <invertIfNegative val="0"/>
            <bubble3D val="0"/>
            <spPr>
              <a:ln xmlns:a="http://schemas.openxmlformats.org/drawingml/2006/main">
                <a:prstDash val="solid"/>
              </a:ln>
            </spPr>
          </dPt>
          <dPt>
            <idx val="2"/>
            <invertIfNegative val="0"/>
            <bubble3D val="0"/>
            <spPr>
              <a:ln xmlns:a="http://schemas.openxmlformats.org/drawingml/2006/main">
                <a:prstDash val="solid"/>
              </a:ln>
            </spPr>
          </dPt>
          <dLbls>
            <dLbl>
              <idx val="0"/>
              <spPr>
                <a:ln xmlns:a="http://schemas.openxmlformats.org/drawingml/2006/main">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en-US"/>
                </a:p>
              </txPr>
              <dLblPos val="ctr"/>
              <showLegendKey val="0"/>
              <showVal val="0"/>
              <showCatName val="0"/>
              <showSerName val="0"/>
              <showPercent val="0"/>
              <showBubbleSize val="1"/>
            </dLbl>
            <dLbl>
              <idx val="2"/>
              <spPr>
                <a:ln xmlns:a="http://schemas.openxmlformats.org/drawingml/2006/main">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en-US"/>
                </a:p>
              </txPr>
              <dLblPos val="ctr"/>
              <showLegendKey val="0"/>
              <showVal val="0"/>
              <showCatName val="0"/>
              <showSerName val="0"/>
              <showPercent val="0"/>
              <showBubbleSize val="1"/>
            </dLbl>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en-US"/>
              </a:p>
            </txPr>
            <dLblPos val="ctr"/>
            <showLegendKey val="0"/>
            <showVal val="0"/>
            <showCatName val="0"/>
            <showSerName val="0"/>
            <showPercent val="0"/>
            <showBubbleSize val="1"/>
            <showLeaderLines val="0"/>
          </dLbls>
          <cat>
            <strRef>
              <f>'Summary &amp; Graphs'!$B$3:$D$3</f>
              <strCache>
                <ptCount val="3"/>
                <pt idx="0">
                  <v>Model 1</v>
                </pt>
                <pt idx="1">
                  <v>Model 2</v>
                </pt>
                <pt idx="2">
                  <v>Model 3</v>
                </pt>
              </strCache>
            </strRef>
          </cat>
          <val>
            <numRef>
              <f>'Summary &amp; Graphs'!$B$5:$D$5</f>
              <numCache>
                <formatCode>#,##0.0</formatCode>
                <ptCount val="3"/>
                <pt idx="0">
                  <v>0</v>
                </pt>
                <pt idx="1">
                  <v>1586.404160000001</v>
                </pt>
                <pt idx="2">
                  <v>0</v>
                </pt>
              </numCache>
            </numRef>
          </val>
        </ser>
        <ser>
          <idx val="2"/>
          <order val="2"/>
          <tx>
            <strRef>
              <f>'Summary &amp; Graphs'!$A$6</f>
              <strCache>
                <ptCount val="1"/>
                <pt idx="0">
                  <v>EaaS</v>
                </pt>
              </strCache>
            </strRef>
          </tx>
          <spPr>
            <a:solidFill xmlns:a="http://schemas.openxmlformats.org/drawingml/2006/main">
              <a:srgbClr val="9BBB59"/>
            </a:solidFill>
            <a:ln xmlns:a="http://schemas.openxmlformats.org/drawingml/2006/main" w="0">
              <a:noFill/>
              <a:prstDash val="solid"/>
            </a:ln>
          </spPr>
          <invertIfNegative val="0"/>
          <dPt>
            <idx val="0"/>
            <invertIfNegative val="0"/>
            <bubble3D val="0"/>
            <spPr>
              <a:solidFill xmlns:a="http://schemas.openxmlformats.org/drawingml/2006/main">
                <a:srgbClr val="9BBB59"/>
              </a:solidFill>
              <a:ln xmlns:a="http://schemas.openxmlformats.org/drawingml/2006/main" w="0">
                <a:noFill/>
                <a:prstDash val="solid"/>
              </a:ln>
            </spPr>
          </dPt>
          <dPt>
            <idx val="1"/>
            <invertIfNegative val="0"/>
            <bubble3D val="0"/>
            <spPr>
              <a:solidFill xmlns:a="http://schemas.openxmlformats.org/drawingml/2006/main">
                <a:srgbClr val="9BBB59"/>
              </a:solidFill>
              <a:ln xmlns:a="http://schemas.openxmlformats.org/drawingml/2006/main" w="0">
                <a:noFill/>
                <a:prstDash val="solid"/>
              </a:ln>
            </spPr>
          </dPt>
          <dLbls>
            <dLbl>
              <idx val="0"/>
              <spPr>
                <a:ln xmlns:a="http://schemas.openxmlformats.org/drawingml/2006/main">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en-US"/>
                </a:p>
              </txPr>
              <dLblPos val="ctr"/>
              <showLegendKey val="0"/>
              <showVal val="0"/>
              <showCatName val="0"/>
              <showSerName val="0"/>
              <showPercent val="0"/>
              <showBubbleSize val="1"/>
            </dLbl>
            <dLbl>
              <idx val="1"/>
              <spPr>
                <a:ln xmlns:a="http://schemas.openxmlformats.org/drawingml/2006/main">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en-US"/>
                </a:p>
              </txPr>
              <dLblPos val="ctr"/>
              <showLegendKey val="0"/>
              <showVal val="0"/>
              <showCatName val="0"/>
              <showSerName val="0"/>
              <showPercent val="0"/>
              <showBubbleSize val="1"/>
            </dLbl>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en-US"/>
              </a:p>
            </txPr>
            <dLblPos val="ctr"/>
            <showLegendKey val="0"/>
            <showVal val="0"/>
            <showCatName val="0"/>
            <showSerName val="0"/>
            <showPercent val="0"/>
            <showBubbleSize val="1"/>
            <showLeaderLines val="0"/>
          </dLbls>
          <cat>
            <strRef>
              <f>'Summary &amp; Graphs'!$B$3:$D$3</f>
              <strCache>
                <ptCount val="3"/>
                <pt idx="0">
                  <v>Model 1</v>
                </pt>
                <pt idx="1">
                  <v>Model 2</v>
                </pt>
                <pt idx="2">
                  <v>Model 3</v>
                </pt>
              </strCache>
            </strRef>
          </cat>
          <val>
            <numRef>
              <f>'Summary &amp; Graphs'!$B$6:$D$6</f>
              <numCache>
                <formatCode>#,##0.0</formatCode>
                <ptCount val="3"/>
                <pt idx="0">
                  <v>0</v>
                </pt>
                <pt idx="1">
                  <v>0</v>
                </pt>
                <pt idx="2">
                  <v>1634.535016666667</v>
                </pt>
              </numCache>
            </numRef>
          </val>
        </ser>
        <dLbls>
          <showLegendKey val="0"/>
          <showVal val="0"/>
          <showCatName val="0"/>
          <showSerName val="0"/>
          <showPercent val="0"/>
          <showBubbleSize val="0"/>
        </dLbls>
        <gapWidth val="150"/>
        <overlap val="100"/>
        <axId val="40099766"/>
        <axId val="87928081"/>
      </barChart>
      <catAx>
        <axId val="40099766"/>
        <scaling>
          <orientation val="minMax"/>
        </scaling>
        <delete val="0"/>
        <axPos val="b"/>
        <numFmt formatCode="General" sourceLinked="0"/>
        <majorTickMark val="none"/>
        <minorTickMark val="none"/>
        <tickLblPos val="nextTo"/>
        <spPr>
          <a:ln xmlns:a="http://schemas.openxmlformats.org/drawingml/2006/main" w="9360">
            <a:solidFill>
              <a:srgbClr val="D9D9D9"/>
            </a:solidFill>
            <a:prstDash val="solid"/>
            <a:roun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
            </a:r>
            <a:endParaRPr lang="en-US"/>
          </a:p>
        </txPr>
        <crossAx val="87928081"/>
        <crosses val="autoZero"/>
        <auto val="1"/>
        <lblAlgn val="ctr"/>
        <lblOffset val="100"/>
        <noMultiLvlLbl val="0"/>
      </catAx>
      <valAx>
        <axId val="87928081"/>
        <scaling>
          <orientation val="minMax"/>
        </scaling>
        <delete val="0"/>
        <axPos val="l"/>
        <majorGridlines>
          <spPr>
            <a:ln xmlns:a="http://schemas.openxmlformats.org/drawingml/2006/main" w="9360">
              <a:solidFill>
                <a:srgbClr val="D9D9D9"/>
              </a:solidFill>
              <a:prstDash val="solid"/>
              <a:round/>
            </a:ln>
          </spPr>
        </majorGridlines>
        <title>
          <tx>
            <rich>
              <a:bodyPr xmlns:a="http://schemas.openxmlformats.org/drawingml/2006/main" rot="-5400000"/>
              <a:lstStyle xmlns:a="http://schemas.openxmlformats.org/drawingml/2006/main"/>
              <a:p xmlns:a="http://schemas.openxmlformats.org/drawingml/2006/main">
                <a:pPr>
                  <a:defRPr lang="en-US" sz="1000" b="0" strike="noStrike" spc="-1">
                    <a:solidFill>
                      <a:srgbClr val="595959"/>
                    </a:solidFill>
                    <a:latin typeface="Calibri"/>
                  </a:defRPr>
                </a:pPr>
                <a:r>
                  <a:rPr lang="en-US" sz="1000" b="0" strike="noStrike" spc="-1">
                    <a:solidFill>
                      <a:srgbClr val="595959"/>
                    </a:solidFill>
                    <a:latin typeface="Calibri"/>
                  </a:rPr>
                  <a:t>Rp juta/tahun</a:t>
                </a:r>
              </a:p>
            </rich>
          </tx>
          <overlay val="0"/>
          <spPr>
            <a:noFill xmlns:a="http://schemas.openxmlformats.org/drawingml/2006/main"/>
            <a:ln xmlns:a="http://schemas.openxmlformats.org/drawingml/2006/main" w="0">
              <a:noFill/>
              <a:prstDash val="solid"/>
            </a:ln>
          </spPr>
        </title>
        <numFmt formatCode="#,##0" sourceLinked="0"/>
        <majorTickMark val="none"/>
        <minorTickMark val="none"/>
        <tickLblPos val="nextTo"/>
        <spPr>
          <a:ln xmlns:a="http://schemas.openxmlformats.org/drawingml/2006/main" w="9360">
            <a:noFill/>
            <a:prstDash val="soli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
            </a:r>
            <a:endParaRPr lang="en-US"/>
          </a:p>
        </txPr>
        <crossAx val="40099766"/>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
          </a:r>
          <a:endParaRPr lang="en-US"/>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2.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lang="en-US" sz="1400" b="0" strike="noStrike" spc="-1">
                <a:solidFill>
                  <a:srgbClr val="595959"/>
                </a:solidFill>
                <a:latin typeface="Calibri"/>
              </a:defRPr>
            </a:pPr>
            <a:r>
              <a:rPr lang="en-US" sz="1400" b="0" strike="noStrike" spc="-1">
                <a:solidFill>
                  <a:srgbClr val="595959"/>
                </a:solidFill>
                <a:latin typeface="Calibri"/>
              </a:rPr>
              <a:t>Kapasitas PLTS dan BESS di KDKMP</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'Summary &amp; Graphs'!$A$9</f>
              <strCache>
                <ptCount val="1"/>
                <pt idx="0">
                  <v>PLTS (kWp)</v>
                </pt>
              </strCache>
            </strRef>
          </tx>
          <spPr>
            <a:solidFill xmlns:a="http://schemas.openxmlformats.org/drawingml/2006/main">
              <a:srgbClr val="4F81BD"/>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900" b="1" strike="noStrike" spc="-1">
                    <a:solidFill>
                      <a:srgbClr val="404040"/>
                    </a:solidFill>
                    <a:latin typeface="Calibri"/>
                  </a:defRPr>
                </a:pPr>
                <a:r>
                  <a:t/>
                </a:r>
                <a:endParaRPr lang="en-US"/>
              </a:p>
            </txPr>
            <dLblPos val="outEnd"/>
            <showLegendKey val="0"/>
            <showVal val="1"/>
            <showCatName val="0"/>
            <showSerName val="0"/>
            <showPercent val="0"/>
            <showBubbleSize val="1"/>
            <showLeaderLines val="0"/>
          </dLbls>
          <cat>
            <strRef>
              <f>'Summary &amp; Graphs'!$B$8:$D$8</f>
              <strCache>
                <ptCount val="3"/>
                <pt idx="0">
                  <v>Model 1</v>
                </pt>
                <pt idx="1">
                  <v>Model 2</v>
                </pt>
                <pt idx="2">
                  <v>Model 3</v>
                </pt>
              </strCache>
            </strRef>
          </cat>
          <val>
            <numRef>
              <f>'Summary &amp; Graphs'!$B$9:$D$9</f>
              <numCache>
                <formatCode>General</formatCode>
                <ptCount val="3"/>
                <pt idx="0">
                  <v>357</v>
                </pt>
                <pt idx="1">
                  <v>1000</v>
                </pt>
                <pt idx="2">
                  <v>357</v>
                </pt>
              </numCache>
            </numRef>
          </val>
        </ser>
        <ser>
          <idx val="1"/>
          <order val="1"/>
          <tx>
            <strRef>
              <f>'Summary &amp; Graphs'!$A$10</f>
              <strCache>
                <ptCount val="1"/>
                <pt idx="0">
                  <v>BESS (kWh)</v>
                </pt>
              </strCache>
            </strRef>
          </tx>
          <spPr>
            <a:solidFill xmlns:a="http://schemas.openxmlformats.org/drawingml/2006/main">
              <a:srgbClr val="C0504D"/>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900" b="1" strike="noStrike" spc="-1">
                    <a:solidFill>
                      <a:srgbClr val="404040"/>
                    </a:solidFill>
                    <a:latin typeface="Calibri"/>
                  </a:defRPr>
                </a:pPr>
                <a:r>
                  <a:t/>
                </a:r>
                <a:endParaRPr lang="en-US"/>
              </a:p>
            </txPr>
            <dLblPos val="outEnd"/>
            <showLegendKey val="0"/>
            <showVal val="1"/>
            <showCatName val="0"/>
            <showSerName val="0"/>
            <showPercent val="0"/>
            <showBubbleSize val="1"/>
            <showLeaderLines val="0"/>
          </dLbls>
          <cat>
            <strRef>
              <f>'Summary &amp; Graphs'!$B$8:$D$8</f>
              <strCache>
                <ptCount val="3"/>
                <pt idx="0">
                  <v>Model 1</v>
                </pt>
                <pt idx="1">
                  <v>Model 2</v>
                </pt>
                <pt idx="2">
                  <v>Model 3</v>
                </pt>
              </strCache>
            </strRef>
          </cat>
          <val>
            <numRef>
              <f>'Summary &amp; Graphs'!$B$10:$D$10</f>
              <numCache>
                <formatCode>General</formatCode>
                <ptCount val="3"/>
                <pt idx="0">
                  <v>714</v>
                </pt>
                <pt idx="1">
                  <v>714</v>
                </pt>
                <pt idx="2">
                  <v>714</v>
                </pt>
              </numCache>
            </numRef>
          </val>
        </ser>
        <dLbls>
          <showLegendKey val="0"/>
          <showVal val="0"/>
          <showCatName val="0"/>
          <showSerName val="0"/>
          <showPercent val="0"/>
          <showBubbleSize val="0"/>
        </dLbls>
        <gapWidth val="219"/>
        <overlap val="-27"/>
        <axId val="11091481"/>
        <axId val="11493335"/>
      </barChart>
      <catAx>
        <axId val="11091481"/>
        <scaling>
          <orientation val="minMax"/>
        </scaling>
        <delete val="0"/>
        <axPos val="b"/>
        <numFmt formatCode="General" sourceLinked="0"/>
        <majorTickMark val="none"/>
        <minorTickMark val="none"/>
        <tickLblPos val="nextTo"/>
        <spPr>
          <a:ln xmlns:a="http://schemas.openxmlformats.org/drawingml/2006/main" w="9360">
            <a:solidFill>
              <a:srgbClr val="D9D9D9"/>
            </a:solidFill>
            <a:prstDash val="solid"/>
            <a:roun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
            </a:r>
            <a:endParaRPr lang="en-US"/>
          </a:p>
        </txPr>
        <crossAx val="11493335"/>
        <crosses val="autoZero"/>
        <auto val="1"/>
        <lblAlgn val="ctr"/>
        <lblOffset val="100"/>
        <noMultiLvlLbl val="0"/>
      </catAx>
      <valAx>
        <axId val="11493335"/>
        <scaling>
          <orientation val="minMax"/>
        </scaling>
        <delete val="0"/>
        <axPos val="l"/>
        <majorGridlines>
          <spPr>
            <a:ln xmlns:a="http://schemas.openxmlformats.org/drawingml/2006/main" w="9360">
              <a:solidFill>
                <a:srgbClr val="D9D9D9"/>
              </a:solidFill>
              <a:prstDash val="solid"/>
              <a:round/>
            </a:ln>
          </spPr>
        </majorGridlines>
        <numFmt formatCode="#,##0" sourceLinked="0"/>
        <majorTickMark val="none"/>
        <minorTickMark val="none"/>
        <tickLblPos val="nextTo"/>
        <spPr>
          <a:ln xmlns:a="http://schemas.openxmlformats.org/drawingml/2006/main" w="9360">
            <a:noFill/>
            <a:prstDash val="soli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
            </a:r>
            <a:endParaRPr lang="en-US"/>
          </a:p>
        </txPr>
        <crossAx val="11091481"/>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
          </a:r>
          <a:endParaRPr lang="en-US"/>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3.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lang="en-US" sz="1400" b="0" strike="noStrike" spc="-1">
                <a:solidFill>
                  <a:srgbClr val="595959"/>
                </a:solidFill>
                <a:latin typeface="Calibri"/>
              </a:defRPr>
            </a:pPr>
            <a:r>
              <a:rPr lang="en-US" sz="1400" b="0" strike="noStrike" spc="-1">
                <a:solidFill>
                  <a:srgbClr val="595959"/>
                </a:solidFill>
                <a:latin typeface="Calibri"/>
              </a:rPr>
              <a:t>CAPEX Tanggungan KDKMP</a:t>
            </a:r>
          </a:p>
        </rich>
      </tx>
      <overlay val="0"/>
      <spPr>
        <a:noFill xmlns:a="http://schemas.openxmlformats.org/drawingml/2006/main"/>
        <a:ln xmlns:a="http://schemas.openxmlformats.org/drawingml/2006/main" w="0">
          <a:noFill/>
          <a:prstDash val="solid"/>
        </a:ln>
      </spPr>
    </title>
    <plotArea>
      <layout/>
      <barChart>
        <barDir val="col"/>
        <grouping val="stacked"/>
        <varyColors val="0"/>
        <ser>
          <idx val="0"/>
          <order val="0"/>
          <tx>
            <strRef>
              <f>'Summary &amp; Graphs'!$A$13</f>
              <strCache>
                <ptCount val="1"/>
                <pt idx="0">
                  <v>CAPEX infrastruktur PLTS + BESS</v>
                </pt>
              </strCache>
            </strRef>
          </tx>
          <spPr>
            <a:solidFill xmlns:a="http://schemas.openxmlformats.org/drawingml/2006/main">
              <a:srgbClr val="4F81BD"/>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en-US"/>
              </a:p>
            </txPr>
            <dLblPos val="ctr"/>
            <showLegendKey val="0"/>
            <showVal val="0"/>
            <showCatName val="0"/>
            <showSerName val="0"/>
            <showPercent val="0"/>
            <showBubbleSize val="1"/>
            <showLeaderLines val="0"/>
          </dLbls>
          <cat>
            <strRef>
              <f>'Summary &amp; Graphs'!$B$12:$D$12</f>
              <strCache>
                <ptCount val="3"/>
                <pt idx="0">
                  <v>Model 1</v>
                </pt>
                <pt idx="1">
                  <v>Model 2</v>
                </pt>
                <pt idx="2">
                  <v>Model 3</v>
                </pt>
              </strCache>
            </strRef>
          </cat>
          <val>
            <numRef>
              <f>'Summary &amp; Graphs'!$B$13:$D$13</f>
              <numCache>
                <formatCode>#,##0.0</formatCode>
                <ptCount val="3"/>
                <pt idx="0">
                  <v>0</v>
                </pt>
                <pt idx="1">
                  <v>13.43044198630137</v>
                </pt>
                <pt idx="2">
                  <v>7.899800148401825</v>
                </pt>
              </numCache>
            </numRef>
          </val>
        </ser>
        <ser>
          <idx val="1"/>
          <order val="1"/>
          <tx>
            <strRef>
              <f>'Summary &amp; Graphs'!$A$14</f>
              <strCache>
                <ptCount val="1"/>
                <pt idx="0">
                  <v>CAPEX aset ekonomi produktif</v>
                </pt>
              </strCache>
            </strRef>
          </tx>
          <spPr>
            <a:solidFill xmlns:a="http://schemas.openxmlformats.org/drawingml/2006/main">
              <a:srgbClr val="C0504D"/>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en-US"/>
              </a:p>
            </txPr>
            <dLblPos val="ctr"/>
            <showLegendKey val="0"/>
            <showVal val="0"/>
            <showCatName val="0"/>
            <showSerName val="0"/>
            <showPercent val="0"/>
            <showBubbleSize val="1"/>
            <showLeaderLines val="0"/>
          </dLbls>
          <cat>
            <strRef>
              <f>'Summary &amp; Graphs'!$B$12:$D$12</f>
              <strCache>
                <ptCount val="3"/>
                <pt idx="0">
                  <v>Model 1</v>
                </pt>
                <pt idx="1">
                  <v>Model 2</v>
                </pt>
                <pt idx="2">
                  <v>Model 3</v>
                </pt>
              </strCache>
            </strRef>
          </cat>
          <val>
            <numRef>
              <f>'Summary &amp; Graphs'!$B$14:$D$14</f>
              <numCache>
                <formatCode>#,##0.0</formatCode>
                <ptCount val="3"/>
                <pt idx="0">
                  <v>0</v>
                </pt>
                <pt idx="1">
                  <v>0</v>
                </pt>
                <pt idx="2">
                  <v>0.7443500000000001</v>
                </pt>
              </numCache>
            </numRef>
          </val>
        </ser>
        <dLbls>
          <showLegendKey val="0"/>
          <showVal val="0"/>
          <showCatName val="0"/>
          <showSerName val="0"/>
          <showPercent val="0"/>
          <showBubbleSize val="0"/>
        </dLbls>
        <gapWidth val="150"/>
        <overlap val="100"/>
        <axId val="89070364"/>
        <axId val="74212605"/>
      </barChart>
      <catAx>
        <axId val="89070364"/>
        <scaling>
          <orientation val="minMax"/>
        </scaling>
        <delete val="0"/>
        <axPos val="b"/>
        <numFmt formatCode="General" sourceLinked="0"/>
        <majorTickMark val="none"/>
        <minorTickMark val="none"/>
        <tickLblPos val="nextTo"/>
        <spPr>
          <a:ln xmlns:a="http://schemas.openxmlformats.org/drawingml/2006/main" w="9360">
            <a:solidFill>
              <a:srgbClr val="D9D9D9"/>
            </a:solidFill>
            <a:prstDash val="solid"/>
            <a:roun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
            </a:r>
            <a:endParaRPr lang="en-US"/>
          </a:p>
        </txPr>
        <crossAx val="74212605"/>
        <crosses val="autoZero"/>
        <auto val="1"/>
        <lblAlgn val="ctr"/>
        <lblOffset val="100"/>
        <noMultiLvlLbl val="0"/>
      </catAx>
      <valAx>
        <axId val="74212605"/>
        <scaling>
          <orientation val="minMax"/>
        </scaling>
        <delete val="0"/>
        <axPos val="l"/>
        <majorGridlines>
          <spPr>
            <a:ln xmlns:a="http://schemas.openxmlformats.org/drawingml/2006/main" w="9360">
              <a:solidFill>
                <a:srgbClr val="D9D9D9"/>
              </a:solidFill>
              <a:prstDash val="solid"/>
              <a:round/>
            </a:ln>
          </spPr>
        </majorGridlines>
        <title>
          <tx>
            <rich>
              <a:bodyPr xmlns:a="http://schemas.openxmlformats.org/drawingml/2006/main" rot="-5400000"/>
              <a:lstStyle xmlns:a="http://schemas.openxmlformats.org/drawingml/2006/main"/>
              <a:p xmlns:a="http://schemas.openxmlformats.org/drawingml/2006/main">
                <a:pPr>
                  <a:defRPr lang="en-US" sz="1000" b="0" strike="noStrike" spc="-1">
                    <a:solidFill>
                      <a:srgbClr val="595959"/>
                    </a:solidFill>
                    <a:latin typeface="Calibri"/>
                  </a:defRPr>
                </a:pPr>
                <a:r>
                  <a:rPr lang="en-US" sz="1000" b="0" strike="noStrike" spc="-1">
                    <a:solidFill>
                      <a:srgbClr val="595959"/>
                    </a:solidFill>
                    <a:latin typeface="Calibri"/>
                  </a:rPr>
                  <a:t>Rp miliar</a:t>
                </a:r>
              </a:p>
            </rich>
          </tx>
          <overlay val="0"/>
          <spPr>
            <a:noFill xmlns:a="http://schemas.openxmlformats.org/drawingml/2006/main"/>
            <a:ln xmlns:a="http://schemas.openxmlformats.org/drawingml/2006/main" w="0">
              <a:noFill/>
              <a:prstDash val="solid"/>
            </a:ln>
          </spPr>
        </title>
        <numFmt formatCode="#,##0" sourceLinked="0"/>
        <majorTickMark val="none"/>
        <minorTickMark val="none"/>
        <tickLblPos val="nextTo"/>
        <spPr>
          <a:ln xmlns:a="http://schemas.openxmlformats.org/drawingml/2006/main" w="9360">
            <a:noFill/>
            <a:prstDash val="soli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
            </a:r>
            <a:endParaRPr lang="en-US"/>
          </a:p>
        </txPr>
        <crossAx val="89070364"/>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
          </a:r>
          <a:endParaRPr lang="en-US"/>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4.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lang="en-US" sz="1400" b="0" strike="noStrike" spc="-1">
                <a:solidFill>
                  <a:srgbClr val="595959"/>
                </a:solidFill>
                <a:latin typeface="Calibri"/>
              </a:defRPr>
            </a:pPr>
            <a:r>
              <a:rPr lang="en-US" sz="1400" b="0" strike="noStrike" spc="-1">
                <a:solidFill>
                  <a:srgbClr val="595959"/>
                </a:solidFill>
                <a:latin typeface="Calibri"/>
              </a:rPr>
              <a:t>OPEX Tanggungan KDKMP per Tahun</a:t>
            </a:r>
          </a:p>
        </rich>
      </tx>
      <overlay val="0"/>
      <spPr>
        <a:noFill xmlns:a="http://schemas.openxmlformats.org/drawingml/2006/main"/>
        <a:ln xmlns:a="http://schemas.openxmlformats.org/drawingml/2006/main" w="0">
          <a:noFill/>
          <a:prstDash val="solid"/>
        </a:ln>
      </spPr>
    </title>
    <plotArea>
      <layout/>
      <barChart>
        <barDir val="col"/>
        <grouping val="stacked"/>
        <varyColors val="0"/>
        <ser>
          <idx val="0"/>
          <order val="0"/>
          <tx>
            <strRef>
              <f>'Summary &amp; Graphs'!$A$17</f>
              <strCache>
                <ptCount val="1"/>
                <pt idx="0">
                  <v>OPEX infrastruktur PLTS + BESS</v>
                </pt>
              </strCache>
            </strRef>
          </tx>
          <spPr>
            <a:solidFill xmlns:a="http://schemas.openxmlformats.org/drawingml/2006/main">
              <a:srgbClr val="4F81BD"/>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en-US"/>
              </a:p>
            </txPr>
            <dLblPos val="ctr"/>
            <showLegendKey val="0"/>
            <showVal val="0"/>
            <showCatName val="0"/>
            <showSerName val="0"/>
            <showPercent val="0"/>
            <showBubbleSize val="1"/>
            <showLeaderLines val="0"/>
          </dLbls>
          <cat>
            <strRef>
              <f>'Summary &amp; Graphs'!$B$16:$D$16</f>
              <strCache>
                <ptCount val="3"/>
                <pt idx="0">
                  <v>Model 1</v>
                </pt>
                <pt idx="1">
                  <v>Model 2</v>
                </pt>
                <pt idx="2">
                  <v>Model 3</v>
                </pt>
              </strCache>
            </strRef>
          </cat>
          <val>
            <numRef>
              <f>'Summary &amp; Graphs'!$B$17:$D$17</f>
              <numCache>
                <formatCode>#,##0.0</formatCode>
                <ptCount val="3"/>
                <pt idx="0">
                  <v>0</v>
                </pt>
                <pt idx="1">
                  <v>268.6088397260274</v>
                </pt>
                <pt idx="2">
                  <v>157.9960029680365</v>
                </pt>
              </numCache>
            </numRef>
          </val>
        </ser>
        <ser>
          <idx val="1"/>
          <order val="1"/>
          <tx>
            <strRef>
              <f>'Summary &amp; Graphs'!$A$18</f>
              <strCache>
                <ptCount val="1"/>
                <pt idx="0">
                  <v>OPEX aset ekonomi produktif</v>
                </pt>
              </strCache>
            </strRef>
          </tx>
          <spPr>
            <a:solidFill xmlns:a="http://schemas.openxmlformats.org/drawingml/2006/main">
              <a:srgbClr val="C0504D"/>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en-US"/>
              </a:p>
            </txPr>
            <dLblPos val="ctr"/>
            <showLegendKey val="0"/>
            <showVal val="0"/>
            <showCatName val="0"/>
            <showSerName val="0"/>
            <showPercent val="0"/>
            <showBubbleSize val="1"/>
            <showLeaderLines val="0"/>
          </dLbls>
          <cat>
            <strRef>
              <f>'Summary &amp; Graphs'!$B$16:$D$16</f>
              <strCache>
                <ptCount val="3"/>
                <pt idx="0">
                  <v>Model 1</v>
                </pt>
                <pt idx="1">
                  <v>Model 2</v>
                </pt>
                <pt idx="2">
                  <v>Model 3</v>
                </pt>
              </strCache>
            </strRef>
          </cat>
          <val>
            <numRef>
              <f>'Summary &amp; Graphs'!$B$18:$D$18</f>
              <numCache>
                <formatCode>#,##0.0</formatCode>
                <ptCount val="3"/>
                <pt idx="0">
                  <v>0</v>
                </pt>
                <pt idx="1">
                  <v>0</v>
                </pt>
                <pt idx="2">
                  <v>37.2175</v>
                </pt>
              </numCache>
            </numRef>
          </val>
        </ser>
        <ser>
          <idx val="2"/>
          <order val="2"/>
          <tx>
            <strRef>
              <f>'Summary &amp; Graphs'!$A$19</f>
              <strCache>
                <ptCount val="1"/>
                <pt idx="0">
                  <v>Biaya staf dan manajemen KDKMP</v>
                </pt>
              </strCache>
            </strRef>
          </tx>
          <spPr>
            <a:solidFill xmlns:a="http://schemas.openxmlformats.org/drawingml/2006/main">
              <a:srgbClr val="9BBB59"/>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00" b="0" strike="noStrike" spc="-1">
                    <a:solidFill>
                      <a:srgbClr val="000000"/>
                    </a:solidFill>
                    <a:latin typeface="Calibri"/>
                  </a:defRPr>
                </a:pPr>
                <a:r>
                  <a:t/>
                </a:r>
                <a:endParaRPr lang="en-US"/>
              </a:p>
            </txPr>
            <dLblPos val="ctr"/>
            <showLegendKey val="0"/>
            <showVal val="0"/>
            <showCatName val="0"/>
            <showSerName val="0"/>
            <showPercent val="0"/>
            <showBubbleSize val="1"/>
            <showLeaderLines val="0"/>
          </dLbls>
          <cat>
            <strRef>
              <f>'Summary &amp; Graphs'!$B$16:$D$16</f>
              <strCache>
                <ptCount val="3"/>
                <pt idx="0">
                  <v>Model 1</v>
                </pt>
                <pt idx="1">
                  <v>Model 2</v>
                </pt>
                <pt idx="2">
                  <v>Model 3</v>
                </pt>
              </strCache>
            </strRef>
          </cat>
          <val>
            <numRef>
              <f>'Summary &amp; Graphs'!$B$19:$D$19</f>
              <numCache>
                <formatCode>#,##0.0</formatCode>
                <ptCount val="3"/>
                <pt idx="0">
                  <v>120</v>
                </pt>
                <pt idx="1">
                  <v>120</v>
                </pt>
                <pt idx="2">
                  <v>180</v>
                </pt>
              </numCache>
            </numRef>
          </val>
        </ser>
        <dLbls>
          <showLegendKey val="0"/>
          <showVal val="0"/>
          <showCatName val="0"/>
          <showSerName val="0"/>
          <showPercent val="0"/>
          <showBubbleSize val="0"/>
        </dLbls>
        <gapWidth val="150"/>
        <overlap val="100"/>
        <axId val="46945832"/>
        <axId val="13399309"/>
      </barChart>
      <catAx>
        <axId val="46945832"/>
        <scaling>
          <orientation val="minMax"/>
        </scaling>
        <delete val="0"/>
        <axPos val="b"/>
        <numFmt formatCode="General" sourceLinked="0"/>
        <majorTickMark val="none"/>
        <minorTickMark val="none"/>
        <tickLblPos val="nextTo"/>
        <spPr>
          <a:ln xmlns:a="http://schemas.openxmlformats.org/drawingml/2006/main" w="9360">
            <a:solidFill>
              <a:srgbClr val="D9D9D9"/>
            </a:solidFill>
            <a:prstDash val="solid"/>
            <a:roun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
            </a:r>
            <a:endParaRPr lang="en-US"/>
          </a:p>
        </txPr>
        <crossAx val="13399309"/>
        <crosses val="autoZero"/>
        <auto val="1"/>
        <lblAlgn val="ctr"/>
        <lblOffset val="100"/>
        <noMultiLvlLbl val="0"/>
      </catAx>
      <valAx>
        <axId val="13399309"/>
        <scaling>
          <orientation val="minMax"/>
        </scaling>
        <delete val="0"/>
        <axPos val="l"/>
        <majorGridlines>
          <spPr>
            <a:ln xmlns:a="http://schemas.openxmlformats.org/drawingml/2006/main" w="9360">
              <a:solidFill>
                <a:srgbClr val="D9D9D9"/>
              </a:solidFill>
              <a:prstDash val="solid"/>
              <a:round/>
            </a:ln>
          </spPr>
        </majorGridlines>
        <title>
          <tx>
            <rich>
              <a:bodyPr xmlns:a="http://schemas.openxmlformats.org/drawingml/2006/main" rot="-5400000"/>
              <a:lstStyle xmlns:a="http://schemas.openxmlformats.org/drawingml/2006/main"/>
              <a:p xmlns:a="http://schemas.openxmlformats.org/drawingml/2006/main">
                <a:pPr>
                  <a:defRPr lang="en-US" sz="1000" b="0" strike="noStrike" spc="-1">
                    <a:solidFill>
                      <a:srgbClr val="595959"/>
                    </a:solidFill>
                    <a:latin typeface="Calibri"/>
                  </a:defRPr>
                </a:pPr>
                <a:r>
                  <a:rPr lang="en-US" sz="1000" b="0" strike="noStrike" spc="-1">
                    <a:solidFill>
                      <a:srgbClr val="595959"/>
                    </a:solidFill>
                    <a:latin typeface="Calibri"/>
                  </a:rPr>
                  <a:t>Rp juta/tahun</a:t>
                </a:r>
              </a:p>
            </rich>
          </tx>
          <overlay val="0"/>
          <spPr>
            <a:noFill xmlns:a="http://schemas.openxmlformats.org/drawingml/2006/main"/>
            <a:ln xmlns:a="http://schemas.openxmlformats.org/drawingml/2006/main" w="0">
              <a:noFill/>
              <a:prstDash val="solid"/>
            </a:ln>
          </spPr>
        </title>
        <numFmt formatCode="0" sourceLinked="0"/>
        <majorTickMark val="none"/>
        <minorTickMark val="none"/>
        <tickLblPos val="nextTo"/>
        <spPr>
          <a:ln xmlns:a="http://schemas.openxmlformats.org/drawingml/2006/main" w="9360">
            <a:noFill/>
            <a:prstDash val="soli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
            </a:r>
            <a:endParaRPr lang="en-US"/>
          </a:p>
        </txPr>
        <crossAx val="46945832"/>
        <crosses val="autoZero"/>
        <crossBetween val="between"/>
      </valAx>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
          </a:r>
          <a:endParaRPr lang="en-US"/>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5.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lang="en-US" sz="1400" b="0" strike="noStrike" spc="-1">
                <a:solidFill>
                  <a:srgbClr val="595959"/>
                </a:solidFill>
                <a:latin typeface="Calibri"/>
              </a:defRPr>
            </a:pPr>
            <a:r>
              <a:rPr lang="en-US" sz="1400" b="0" strike="noStrike" spc="-1">
                <a:solidFill>
                  <a:srgbClr val="595959"/>
                </a:solidFill>
                <a:latin typeface="Calibri"/>
              </a:rPr>
              <a:t>Kebutuhan Listrik KDKMP (MWh/tahun)</a:t>
            </a:r>
          </a:p>
        </rich>
      </tx>
      <overlay val="0"/>
      <spPr>
        <a:noFill xmlns:a="http://schemas.openxmlformats.org/drawingml/2006/main"/>
        <a:ln xmlns:a="http://schemas.openxmlformats.org/drawingml/2006/main" w="0">
          <a:noFill/>
          <a:prstDash val="solid"/>
        </a:ln>
      </spPr>
    </title>
    <plotArea>
      <layout/>
      <doughnutChart>
        <varyColors val="1"/>
        <ser>
          <idx val="0"/>
          <order val="0"/>
          <tx>
            <strRef>
              <f>'Summary &amp; Graphs'!$B$36</f>
              <strCache>
                <ptCount val="1"/>
                <pt idx="0">
                  <v>Kebutuhan Listrik</v>
                </pt>
              </strCache>
            </strRef>
          </tx>
          <spPr>
            <a:solidFill xmlns:a="http://schemas.openxmlformats.org/drawingml/2006/main">
              <a:srgbClr val="4F81BD"/>
            </a:solidFill>
            <a:ln xmlns:a="http://schemas.openxmlformats.org/drawingml/2006/main" w="0">
              <a:noFill/>
              <a:prstDash val="solid"/>
            </a:ln>
          </spPr>
          <dPt>
            <idx val="0"/>
            <bubble3D val="0"/>
            <spPr>
              <a:solidFill xmlns:a="http://schemas.openxmlformats.org/drawingml/2006/main">
                <a:srgbClr val="4F81BD"/>
              </a:solidFill>
              <a:ln xmlns:a="http://schemas.openxmlformats.org/drawingml/2006/main" w="19080">
                <a:solidFill>
                  <a:srgbClr val="FFFFFF"/>
                </a:solidFill>
                <a:prstDash val="solid"/>
                <a:round/>
              </a:ln>
            </spPr>
          </dPt>
          <dPt>
            <idx val="1"/>
            <bubble3D val="0"/>
            <spPr>
              <a:solidFill xmlns:a="http://schemas.openxmlformats.org/drawingml/2006/main">
                <a:srgbClr val="C0504D"/>
              </a:solidFill>
              <a:ln xmlns:a="http://schemas.openxmlformats.org/drawingml/2006/main" w="19080">
                <a:solidFill>
                  <a:srgbClr val="FFFFFF"/>
                </a:solidFill>
                <a:prstDash val="solid"/>
                <a:round/>
              </a:ln>
            </spPr>
          </dPt>
          <dPt>
            <idx val="2"/>
            <bubble3D val="0"/>
            <spPr>
              <a:solidFill xmlns:a="http://schemas.openxmlformats.org/drawingml/2006/main">
                <a:srgbClr val="9BBB59"/>
              </a:solidFill>
              <a:ln xmlns:a="http://schemas.openxmlformats.org/drawingml/2006/main" w="19080">
                <a:solidFill>
                  <a:srgbClr val="FFFFFF"/>
                </a:solidFill>
                <a:prstDash val="solid"/>
                <a:round/>
              </a:ln>
            </spPr>
          </dPt>
          <dLbls>
            <dLbl>
              <idx val="0"/>
              <spPr>
                <a:ln xmlns:a="http://schemas.openxmlformats.org/drawingml/2006/main">
                  <a:prstDash val="solid"/>
                </a:ln>
              </spPr>
              <txPr>
                <a:bodyPr xmlns:a="http://schemas.openxmlformats.org/drawingml/2006/main" wrap="square"/>
                <a:lstStyle xmlns:a="http://schemas.openxmlformats.org/drawingml/2006/main"/>
                <a:p xmlns:a="http://schemas.openxmlformats.org/drawingml/2006/main">
                  <a:pPr>
                    <a:defRPr sz="1400" b="1" strike="noStrike" spc="-1">
                      <a:solidFill>
                        <a:srgbClr val="404040"/>
                      </a:solidFill>
                      <a:latin typeface="Calibri"/>
                    </a:defRPr>
                  </a:pPr>
                  <a:r>
                    <a:t/>
                  </a:r>
                  <a:endParaRPr lang="en-US"/>
                </a:p>
              </txPr>
              <showLegendKey val="0"/>
              <showVal val="0"/>
              <showCatName val="0"/>
              <showSerName val="0"/>
              <showPercent val="1"/>
              <showBubbleSize val="1"/>
            </dLbl>
            <dLbl>
              <idx val="1"/>
              <spPr>
                <a:ln xmlns:a="http://schemas.openxmlformats.org/drawingml/2006/main">
                  <a:prstDash val="solid"/>
                </a:ln>
              </spPr>
              <txPr>
                <a:bodyPr xmlns:a="http://schemas.openxmlformats.org/drawingml/2006/main" wrap="square"/>
                <a:lstStyle xmlns:a="http://schemas.openxmlformats.org/drawingml/2006/main"/>
                <a:p xmlns:a="http://schemas.openxmlformats.org/drawingml/2006/main">
                  <a:pPr>
                    <a:defRPr sz="1400" b="1" strike="noStrike" spc="-1">
                      <a:solidFill>
                        <a:srgbClr val="404040"/>
                      </a:solidFill>
                      <a:latin typeface="Calibri"/>
                    </a:defRPr>
                  </a:pPr>
                  <a:r>
                    <a:t/>
                  </a:r>
                  <a:endParaRPr lang="en-US"/>
                </a:p>
              </txPr>
              <showLegendKey val="0"/>
              <showVal val="0"/>
              <showCatName val="0"/>
              <showSerName val="0"/>
              <showPercent val="1"/>
              <showBubbleSize val="1"/>
            </dLbl>
            <dLbl>
              <idx val="2"/>
              <spPr>
                <a:ln xmlns:a="http://schemas.openxmlformats.org/drawingml/2006/main">
                  <a:prstDash val="solid"/>
                </a:ln>
              </spPr>
              <txPr>
                <a:bodyPr xmlns:a="http://schemas.openxmlformats.org/drawingml/2006/main" wrap="square"/>
                <a:lstStyle xmlns:a="http://schemas.openxmlformats.org/drawingml/2006/main"/>
                <a:p xmlns:a="http://schemas.openxmlformats.org/drawingml/2006/main">
                  <a:pPr>
                    <a:defRPr sz="1400" b="1" strike="noStrike" spc="-1">
                      <a:solidFill>
                        <a:srgbClr val="404040"/>
                      </a:solidFill>
                      <a:latin typeface="Calibri"/>
                    </a:defRPr>
                  </a:pPr>
                  <a:r>
                    <a:t/>
                  </a:r>
                  <a:endParaRPr lang="en-US"/>
                </a:p>
              </txPr>
              <showLegendKey val="0"/>
              <showVal val="0"/>
              <showCatName val="0"/>
              <showSerName val="0"/>
              <showPercent val="1"/>
              <showBubbleSize val="1"/>
            </dLbl>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400" b="1" strike="noStrike" spc="-1">
                    <a:solidFill>
                      <a:srgbClr val="404040"/>
                    </a:solidFill>
                    <a:latin typeface="Calibri"/>
                  </a:defRPr>
                </a:pPr>
                <a:r>
                  <a:t/>
                </a:r>
                <a:endParaRPr lang="en-US"/>
              </a:p>
            </txPr>
            <showLegendKey val="0"/>
            <showVal val="0"/>
            <showCatName val="0"/>
            <showSerName val="0"/>
            <showPercent val="1"/>
            <showBubbleSize val="1"/>
            <showLeaderLines val="0"/>
          </dLbls>
          <cat>
            <strRef>
              <f>'Summary &amp; Graphs'!$A$37:$A$39</f>
              <strCache>
                <ptCount val="3"/>
                <pt idx="0">
                  <v>Kebutuhan listrik rumah tangga tahunan</v>
                </pt>
                <pt idx="1">
                  <v>Kebutuhan listrik komoditas ikan (termasuk es untuk aktivitas produksi ikan)</v>
                </pt>
                <pt idx="2">
                  <v>Kebutuhan listrik komoditas es (dijual ke luar)</v>
                </pt>
              </strCache>
            </strRef>
          </cat>
          <val>
            <numRef>
              <f>'Summary &amp; Graphs'!$B$37:$B$39</f>
              <numCache>
                <formatCode>#,##0</formatCode>
                <ptCount val="3"/>
                <pt idx="0">
                  <v>248.2</v>
                </pt>
                <pt idx="1">
                  <v>44.10066666666667</v>
                </pt>
                <pt idx="2">
                  <v>207.9333333333333</v>
                </pt>
              </numCache>
            </numRef>
          </val>
        </ser>
        <dLbls>
          <showLegendKey val="0"/>
          <showVal val="0"/>
          <showCatName val="0"/>
          <showSerName val="0"/>
          <showPercent val="0"/>
          <showBubbleSize val="0"/>
          <showLeaderLines val="0"/>
        </dLbls>
        <firstSliceAng val="0"/>
        <holeSize val="50"/>
      </doughnutChart>
    </plotArea>
    <legend>
      <legendPos val="b"/>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
          </a:r>
          <a:endParaRPr lang="en-US"/>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6.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lang="en-US" sz="1400" b="0" strike="noStrike" spc="-1">
                <a:solidFill>
                  <a:srgbClr val="000000"/>
                </a:solidFill>
                <a:latin typeface="Calibri"/>
              </a:defRPr>
            </a:pPr>
            <a:r>
              <a:rPr lang="en-US" sz="1400" b="0" strike="noStrike" spc="-1">
                <a:solidFill>
                  <a:srgbClr val="000000"/>
                </a:solidFill>
                <a:latin typeface="Calibri"/>
              </a:rPr>
              <a:t xml:space="preserve">Kebutuhan Listrik KDKMP </a:t>
            </a:r>
          </a:p>
        </rich>
      </tx>
      <overlay val="0"/>
      <spPr>
        <a:noFill xmlns:a="http://schemas.openxmlformats.org/drawingml/2006/main"/>
        <a:ln xmlns:a="http://schemas.openxmlformats.org/drawingml/2006/main" w="0">
          <a:noFill/>
          <a:prstDash val="solid"/>
        </a:ln>
      </spPr>
    </title>
    <plotArea>
      <layout>
        <manualLayout>
          <layoutTarget val="inner"/>
          <xMode val="edge"/>
          <yMode val="edge"/>
          <wMode val="factor"/>
          <hMode val="factor"/>
          <x val="0.205249569707401"/>
          <y val="0.129105200818348"/>
          <w val="0.279905335628227"/>
          <h val="0.782599332400129"/>
        </manualLayout>
      </layout>
      <barChart>
        <barDir val="col"/>
        <grouping val="stacked"/>
        <varyColors val="0"/>
        <ser>
          <idx val="0"/>
          <order val="0"/>
          <tx>
            <strRef>
              <f>'Summary &amp; Graphs'!$A$37</f>
              <strCache>
                <ptCount val="1"/>
                <pt idx="0">
                  <v>Kebutuhan listrik rumah tangga tahunan</v>
                </pt>
              </strCache>
            </strRef>
          </tx>
          <spPr>
            <a:solidFill xmlns:a="http://schemas.openxmlformats.org/drawingml/2006/main">
              <a:srgbClr val="4F81BD"/>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200" b="1" strike="noStrike" spc="-1">
                    <a:solidFill>
                      <a:srgbClr val="404040"/>
                    </a:solidFill>
                    <a:latin typeface="Calibri"/>
                  </a:defRPr>
                </a:pPr>
                <a:r>
                  <a:t/>
                </a:r>
                <a:endParaRPr lang="en-US"/>
              </a:p>
            </txPr>
            <dLblPos val="ctr"/>
            <showLegendKey val="0"/>
            <showVal val="1"/>
            <showCatName val="0"/>
            <showSerName val="0"/>
            <showPercent val="0"/>
            <showBubbleSize val="1"/>
            <showLeaderLines val="0"/>
          </dLbls>
          <cat>
            <strRef>
              <f>'Summary &amp; Graphs'!$B$36</f>
              <strCache>
                <ptCount val="1"/>
                <pt idx="0">
                  <v>Kebutuhan Listrik</v>
                </pt>
              </strCache>
            </strRef>
          </cat>
          <val>
            <numRef>
              <f>'Summary &amp; Graphs'!$B$37</f>
              <numCache>
                <formatCode>#,##0</formatCode>
                <ptCount val="1"/>
                <pt idx="0">
                  <v>248.2</v>
                </pt>
              </numCache>
            </numRef>
          </val>
        </ser>
        <ser>
          <idx val="1"/>
          <order val="1"/>
          <tx>
            <strRef>
              <f>'Summary &amp; Graphs'!$A$38</f>
              <strCache>
                <ptCount val="1"/>
                <pt idx="0">
                  <v>Kebutuhan listrik komoditas ikan (termasuk es untuk aktivitas produksi ikan)</v>
                </pt>
              </strCache>
            </strRef>
          </tx>
          <spPr>
            <a:solidFill xmlns:a="http://schemas.openxmlformats.org/drawingml/2006/main">
              <a:srgbClr val="C0504D"/>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200" b="1" strike="noStrike" spc="-1">
                    <a:solidFill>
                      <a:srgbClr val="404040"/>
                    </a:solidFill>
                    <a:latin typeface="Calibri"/>
                  </a:defRPr>
                </a:pPr>
                <a:r>
                  <a:t/>
                </a:r>
                <a:endParaRPr lang="en-US"/>
              </a:p>
            </txPr>
            <dLblPos val="ctr"/>
            <showLegendKey val="0"/>
            <showVal val="1"/>
            <showCatName val="0"/>
            <showSerName val="0"/>
            <showPercent val="0"/>
            <showBubbleSize val="1"/>
            <showLeaderLines val="0"/>
          </dLbls>
          <cat>
            <strRef>
              <f>'Summary &amp; Graphs'!$B$36</f>
              <strCache>
                <ptCount val="1"/>
                <pt idx="0">
                  <v>Kebutuhan Listrik</v>
                </pt>
              </strCache>
            </strRef>
          </cat>
          <val>
            <numRef>
              <f>'Summary &amp; Graphs'!$B$38</f>
              <numCache>
                <formatCode>#,##0</formatCode>
                <ptCount val="1"/>
                <pt idx="0">
                  <v>44.10066666666667</v>
                </pt>
              </numCache>
            </numRef>
          </val>
        </ser>
        <ser>
          <idx val="2"/>
          <order val="2"/>
          <tx>
            <strRef>
              <f>'Summary &amp; Graphs'!$A$39</f>
              <strCache>
                <ptCount val="1"/>
                <pt idx="0">
                  <v>Kebutuhan listrik komoditas es (dijual ke luar)</v>
                </pt>
              </strCache>
            </strRef>
          </tx>
          <spPr>
            <a:solidFill xmlns:a="http://schemas.openxmlformats.org/drawingml/2006/main">
              <a:srgbClr val="9BBB59"/>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200" b="1" strike="noStrike" spc="-1">
                    <a:solidFill>
                      <a:srgbClr val="404040"/>
                    </a:solidFill>
                    <a:latin typeface="Calibri"/>
                  </a:defRPr>
                </a:pPr>
                <a:r>
                  <a:t/>
                </a:r>
                <a:endParaRPr lang="en-US"/>
              </a:p>
            </txPr>
            <dLblPos val="ctr"/>
            <showLegendKey val="0"/>
            <showVal val="1"/>
            <showCatName val="0"/>
            <showSerName val="0"/>
            <showPercent val="0"/>
            <showBubbleSize val="1"/>
            <showLeaderLines val="0"/>
          </dLbls>
          <cat>
            <strRef>
              <f>'Summary &amp; Graphs'!$B$36</f>
              <strCache>
                <ptCount val="1"/>
                <pt idx="0">
                  <v>Kebutuhan Listrik</v>
                </pt>
              </strCache>
            </strRef>
          </cat>
          <val>
            <numRef>
              <f>'Summary &amp; Graphs'!$B$39</f>
              <numCache>
                <formatCode>#,##0</formatCode>
                <ptCount val="1"/>
                <pt idx="0">
                  <v>207.9333333333333</v>
                </pt>
              </numCache>
            </numRef>
          </val>
        </ser>
        <dLbls>
          <showLegendKey val="0"/>
          <showVal val="0"/>
          <showCatName val="0"/>
          <showSerName val="0"/>
          <showPercent val="0"/>
          <showBubbleSize val="0"/>
        </dLbls>
        <gapWidth val="150"/>
        <overlap val="100"/>
        <axId val="70586345"/>
        <axId val="50312503"/>
      </barChart>
      <catAx>
        <axId val="70586345"/>
        <scaling>
          <orientation val="minMax"/>
        </scaling>
        <delete val="0"/>
        <axPos val="b"/>
        <numFmt formatCode="General" sourceLinked="0"/>
        <majorTickMark val="none"/>
        <minorTickMark val="none"/>
        <tickLblPos val="nextTo"/>
        <spPr>
          <a:ln xmlns:a="http://schemas.openxmlformats.org/drawingml/2006/main" w="9360">
            <a:solidFill>
              <a:srgbClr val="D9D9D9"/>
            </a:solidFill>
            <a:prstDash val="solid"/>
            <a:roun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
            </a:r>
            <a:endParaRPr lang="en-US"/>
          </a:p>
        </txPr>
        <crossAx val="50312503"/>
        <crosses val="autoZero"/>
        <auto val="1"/>
        <lblAlgn val="ctr"/>
        <lblOffset val="100"/>
        <noMultiLvlLbl val="0"/>
      </catAx>
      <valAx>
        <axId val="50312503"/>
        <scaling>
          <orientation val="minMax"/>
          <min val="0"/>
        </scaling>
        <delete val="0"/>
        <axPos val="l"/>
        <majorGridlines>
          <spPr>
            <a:ln xmlns:a="http://schemas.openxmlformats.org/drawingml/2006/main" w="9360">
              <a:solidFill>
                <a:srgbClr val="D9D9D9"/>
              </a:solidFill>
              <a:prstDash val="solid"/>
              <a:round/>
            </a:ln>
          </spPr>
        </majorGridlines>
        <title>
          <tx>
            <rich>
              <a:bodyPr xmlns:a="http://schemas.openxmlformats.org/drawingml/2006/main" rot="-5400000"/>
              <a:lstStyle xmlns:a="http://schemas.openxmlformats.org/drawingml/2006/main"/>
              <a:p xmlns:a="http://schemas.openxmlformats.org/drawingml/2006/main">
                <a:pPr>
                  <a:defRPr lang="en-US" sz="1000" b="0" strike="noStrike" spc="-1">
                    <a:solidFill>
                      <a:srgbClr val="595959"/>
                    </a:solidFill>
                    <a:latin typeface="Calibri"/>
                  </a:defRPr>
                </a:pPr>
                <a:r>
                  <a:rPr lang="en-US" sz="1000" b="0" strike="noStrike" spc="-1">
                    <a:solidFill>
                      <a:srgbClr val="595959"/>
                    </a:solidFill>
                    <a:latin typeface="Calibri"/>
                  </a:rPr>
                  <a:t>MWh/tahun</a:t>
                </a:r>
              </a:p>
            </rich>
          </tx>
          <layout>
            <manualLayout>
              <xMode val="edge"/>
              <yMode val="edge"/>
              <wMode val="factor"/>
              <hMode val="factor"/>
              <x val="0.0472246127366609"/>
              <y val="0.449014751803596"/>
            </manualLayout>
          </layout>
          <overlay val="0"/>
          <spPr>
            <a:noFill xmlns:a="http://schemas.openxmlformats.org/drawingml/2006/main"/>
            <a:ln xmlns:a="http://schemas.openxmlformats.org/drawingml/2006/main" w="0">
              <a:noFill/>
              <a:prstDash val="solid"/>
            </a:ln>
          </spPr>
        </title>
        <numFmt formatCode="#,##0" sourceLinked="0"/>
        <majorTickMark val="none"/>
        <minorTickMark val="none"/>
        <tickLblPos val="nextTo"/>
        <spPr>
          <a:ln xmlns:a="http://schemas.openxmlformats.org/drawingml/2006/main" w="9360">
            <a:noFill/>
            <a:prstDash val="soli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
            </a:r>
            <a:endParaRPr lang="en-US"/>
          </a:p>
        </txPr>
        <crossAx val="70586345"/>
        <crosses val="autoZero"/>
        <crossBetween val="between"/>
      </valAx>
    </plotArea>
    <legend>
      <legendPos val="r"/>
      <layout>
        <manualLayout>
          <xMode val="edge"/>
          <yMode val="edge"/>
          <wMode val="factor"/>
          <hMode val="factor"/>
          <x val="0.5518166115111987"/>
          <y val="0.133680384465055"/>
          <w val="0.389214774108726"/>
          <h val="0.617110198942897"/>
        </manualLayout>
      </layout>
      <overlay val="0"/>
      <spPr>
        <a:noFill xmlns:a="http://schemas.openxmlformats.org/drawingml/2006/main"/>
        <a:ln xmlns:a="http://schemas.openxmlformats.org/drawingml/2006/main" w="0">
          <a:noFill/>
          <a:prstDash val="soli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
          </a:r>
          <a:endParaRPr lang="en-US"/>
        </a:p>
      </txPr>
    </legend>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7.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lang="en-US" sz="1400" b="0" strike="noStrike" spc="-1">
                <a:solidFill>
                  <a:srgbClr val="595959"/>
                </a:solidFill>
                <a:latin typeface="Calibri"/>
              </a:defRPr>
            </a:pPr>
            <a:r>
              <a:rPr lang="en-US" sz="1400" b="0" strike="noStrike" spc="-1">
                <a:solidFill>
                  <a:srgbClr val="595959"/>
                </a:solidFill>
                <a:latin typeface="Calibri"/>
              </a:rPr>
              <a:t>Profi</a:t>
            </a:r>
            <a:r>
              <a:rPr lang="en-US" sz="1400" b="0" strike="noStrike" spc="-1" baseline="0">
                <a:solidFill>
                  <a:srgbClr val="595959"/>
                </a:solidFill>
                <a:latin typeface="Calibri"/>
              </a:rPr>
              <a:t>t Bersih</a:t>
            </a:r>
            <a:r>
              <a:rPr lang="en-US" sz="1400" b="0" strike="noStrike" spc="-1">
                <a:solidFill>
                  <a:srgbClr val="595959"/>
                </a:solidFill>
                <a:latin typeface="Calibri"/>
              </a:rPr>
              <a:t xml:space="preserve"> Tahunan per Jenis Komoditas</a:t>
            </a:r>
          </a:p>
        </rich>
      </tx>
      <overlay val="0"/>
      <spPr>
        <a:noFill xmlns:a="http://schemas.openxmlformats.org/drawingml/2006/main"/>
        <a:ln xmlns:a="http://schemas.openxmlformats.org/drawingml/2006/main" w="0">
          <a:noFill/>
          <a:prstDash val="solid"/>
        </a:ln>
      </spPr>
    </title>
    <plotArea>
      <layout/>
      <barChart>
        <barDir val="bar"/>
        <grouping val="clustered"/>
        <varyColors val="0"/>
        <ser>
          <idx val="0"/>
          <order val="0"/>
          <tx>
            <strRef>
              <f>'Summary &amp; Graphs'!$B$43</f>
              <strCache>
                <ptCount val="1"/>
                <pt idx="0">
                  <v>Rp miliar/tahun</v>
                </pt>
              </strCache>
            </strRef>
          </tx>
          <spPr>
            <a:solidFill xmlns:a="http://schemas.openxmlformats.org/drawingml/2006/main">
              <a:srgbClr val="4F81BD"/>
            </a:solidFill>
            <a:ln xmlns:a="http://schemas.openxmlformats.org/drawingml/2006/main" w="0">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400" b="1" strike="noStrike" spc="-1">
                    <a:solidFill>
                      <a:srgbClr val="404040"/>
                    </a:solidFill>
                    <a:latin typeface="Calibri"/>
                  </a:defRPr>
                </a:pPr>
                <a:r>
                  <a:t/>
                </a:r>
                <a:endParaRPr lang="en-US"/>
              </a:p>
            </txPr>
            <dLblPos val="outEnd"/>
            <showLegendKey val="0"/>
            <showVal val="1"/>
            <showCatName val="0"/>
            <showSerName val="0"/>
            <showPercent val="0"/>
            <showBubbleSize val="1"/>
            <showLeaderLines val="0"/>
          </dLbls>
          <cat>
            <strRef>
              <f>'Summary &amp; Graphs'!$A$44:$A$46</f>
              <strCache>
                <ptCount val="3"/>
                <pt idx="0">
                  <v>Ikan</v>
                </pt>
                <pt idx="1">
                  <v>Es (dijual ke nelayan lokal)</v>
                </pt>
                <pt idx="2">
                  <v>Es (dijual ke luar)</v>
                </pt>
              </strCache>
            </strRef>
          </cat>
          <val>
            <numRef>
              <f>'Summary &amp; Graphs'!$B$44:$B$46</f>
              <numCache>
                <formatCode>0.0</formatCode>
                <ptCount val="3"/>
                <pt idx="0">
                  <v>0.83</v>
                </pt>
                <pt idx="1">
                  <v>0.05533333333333334</v>
                </pt>
                <pt idx="2">
                  <v>1.039666666666667</v>
                </pt>
              </numCache>
            </numRef>
          </val>
        </ser>
        <dLbls>
          <showLegendKey val="0"/>
          <showVal val="0"/>
          <showCatName val="0"/>
          <showSerName val="0"/>
          <showPercent val="0"/>
          <showBubbleSize val="0"/>
        </dLbls>
        <gapWidth val="182"/>
        <axId val="30430579"/>
        <axId val="24558907"/>
      </barChart>
      <catAx>
        <axId val="30430579"/>
        <scaling>
          <orientation val="minMax"/>
        </scaling>
        <delete val="0"/>
        <axPos val="l"/>
        <numFmt formatCode="General" sourceLinked="0"/>
        <majorTickMark val="none"/>
        <minorTickMark val="none"/>
        <tickLblPos val="nextTo"/>
        <spPr>
          <a:ln xmlns:a="http://schemas.openxmlformats.org/drawingml/2006/main" w="9360">
            <a:solidFill>
              <a:srgbClr val="D9D9D9"/>
            </a:solidFill>
            <a:prstDash val="solid"/>
            <a:roun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
            </a:r>
            <a:endParaRPr lang="en-US"/>
          </a:p>
        </txPr>
        <crossAx val="24558907"/>
        <crosses val="autoZero"/>
        <auto val="1"/>
        <lblAlgn val="ctr"/>
        <lblOffset val="100"/>
        <noMultiLvlLbl val="0"/>
      </catAx>
      <valAx>
        <axId val="24558907"/>
        <scaling>
          <orientation val="minMax"/>
        </scaling>
        <delete val="0"/>
        <axPos val="b"/>
        <majorGridlines>
          <spPr>
            <a:ln xmlns:a="http://schemas.openxmlformats.org/drawingml/2006/main" w="9360">
              <a:solidFill>
                <a:srgbClr val="D9D9D9"/>
              </a:solidFill>
              <a:prstDash val="solid"/>
              <a:round/>
            </a:ln>
          </spPr>
        </majorGridlines>
        <title>
          <tx>
            <rich>
              <a:bodyPr xmlns:a="http://schemas.openxmlformats.org/drawingml/2006/main" rot="0"/>
              <a:lstStyle xmlns:a="http://schemas.openxmlformats.org/drawingml/2006/main"/>
              <a:p xmlns:a="http://schemas.openxmlformats.org/drawingml/2006/main">
                <a:pPr>
                  <a:defRPr lang="en-US" sz="1000" b="0" strike="noStrike" spc="-1">
                    <a:solidFill>
                      <a:srgbClr val="595959"/>
                    </a:solidFill>
                    <a:latin typeface="Calibri"/>
                  </a:defRPr>
                </a:pPr>
                <a:r>
                  <a:rPr lang="en-US" sz="1000" b="0" strike="noStrike" spc="-1">
                    <a:solidFill>
                      <a:srgbClr val="595959"/>
                    </a:solidFill>
                    <a:latin typeface="Calibri"/>
                  </a:rPr>
                  <a:t>Rp miliar/tahun</a:t>
                </a:r>
              </a:p>
            </rich>
          </tx>
          <overlay val="0"/>
          <spPr>
            <a:noFill xmlns:a="http://schemas.openxmlformats.org/drawingml/2006/main"/>
            <a:ln xmlns:a="http://schemas.openxmlformats.org/drawingml/2006/main" w="0">
              <a:noFill/>
              <a:prstDash val="solid"/>
            </a:ln>
          </spPr>
        </title>
        <numFmt formatCode="0.0" sourceLinked="0"/>
        <majorTickMark val="none"/>
        <minorTickMark val="none"/>
        <tickLblPos val="nextTo"/>
        <spPr>
          <a:ln xmlns:a="http://schemas.openxmlformats.org/drawingml/2006/main" w="9360">
            <a:noFill/>
            <a:prstDash val="soli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
            </a:r>
            <a:endParaRPr lang="en-US"/>
          </a:p>
        </txPr>
        <crossAx val="30430579"/>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8.xml><?xml version="1.0" encoding="utf-8"?>
<chartSpace xmlns="http://schemas.openxmlformats.org/drawingml/2006/chart">
  <chart>
    <title>
      <tx>
        <rich>
          <a:bodyPr xmlns:a="http://schemas.openxmlformats.org/drawingml/2006/main" rot="0"/>
          <a:lstStyle xmlns:a="http://schemas.openxmlformats.org/drawingml/2006/main"/>
          <a:p xmlns:a="http://schemas.openxmlformats.org/drawingml/2006/main">
            <a:pPr>
              <a:defRPr lang="en-US" sz="1400" b="0" strike="noStrike" spc="-1">
                <a:solidFill>
                  <a:srgbClr val="595959"/>
                </a:solidFill>
                <a:latin typeface="Calibri"/>
              </a:defRPr>
            </a:pPr>
            <a:r>
              <a:rPr lang="en-US" sz="1400" b="0" strike="noStrike" spc="-1">
                <a:solidFill>
                  <a:srgbClr val="595959"/>
                </a:solidFill>
                <a:latin typeface="Calibri"/>
              </a:rPr>
              <a:t>Payback Period</a:t>
            </a:r>
          </a:p>
        </rich>
      </tx>
      <overlay val="0"/>
      <spPr>
        <a:noFill xmlns:a="http://schemas.openxmlformats.org/drawingml/2006/main"/>
        <a:ln xmlns:a="http://schemas.openxmlformats.org/drawingml/2006/main" w="0">
          <a:noFill/>
          <a:prstDash val="solid"/>
        </a:ln>
      </spPr>
    </title>
    <plotArea>
      <layout/>
      <barChart>
        <barDir val="col"/>
        <grouping val="clustered"/>
        <varyColors val="0"/>
        <ser>
          <idx val="0"/>
          <order val="0"/>
          <tx>
            <strRef>
              <f>'Summary &amp; Graphs'!$A$22</f>
              <strCache>
                <ptCount val="1"/>
                <pt idx="0">
                  <v>Payback Period (tahun)</v>
                </pt>
              </strCache>
            </strRef>
          </tx>
          <spPr>
            <a:solidFill xmlns:a="http://schemas.openxmlformats.org/drawingml/2006/main">
              <a:srgbClr val="4F81BD"/>
            </a:solidFill>
            <a:ln xmlns:a="http://schemas.openxmlformats.org/drawingml/2006/main" w="0">
              <a:noFill/>
              <a:prstDash val="solid"/>
            </a:ln>
          </spPr>
          <invertIfNegative val="0"/>
          <dPt>
            <idx val="0"/>
            <invertIfNegative val="0"/>
            <bubble3D val="0"/>
            <spPr>
              <a:solidFill xmlns:a="http://schemas.openxmlformats.org/drawingml/2006/main">
                <a:srgbClr val="4F81BD"/>
              </a:solidFill>
              <a:ln xmlns:a="http://schemas.openxmlformats.org/drawingml/2006/main" w="0">
                <a:noFill/>
                <a:prstDash val="solid"/>
              </a:ln>
            </spPr>
          </dPt>
          <dLbls>
            <dLbl>
              <idx val="0"/>
            </dLbl>
            <spPr>
              <a:noFill xmlns:a="http://schemas.openxmlformats.org/drawingml/2006/main"/>
              <a:ln xmlns:a="http://schemas.openxmlformats.org/drawingml/2006/main">
                <a:noFill/>
                <a:prstDash val="solid"/>
              </a:ln>
            </spPr>
            <txPr>
              <a:bodyPr xmlns:a="http://schemas.openxmlformats.org/drawingml/2006/main" wrap="square"/>
              <a:lstStyle xmlns:a="http://schemas.openxmlformats.org/drawingml/2006/main"/>
              <a:p xmlns:a="http://schemas.openxmlformats.org/drawingml/2006/main">
                <a:pPr>
                  <a:defRPr sz="1050" b="1" strike="noStrike" spc="-1">
                    <a:solidFill>
                      <a:srgbClr val="404040"/>
                    </a:solidFill>
                    <a:latin typeface="Calibri"/>
                  </a:defRPr>
                </a:pPr>
                <a:r>
                  <a:t/>
                </a:r>
                <a:endParaRPr lang="en-US"/>
              </a:p>
            </txPr>
            <dLblPos val="outEnd"/>
            <showLegendKey val="0"/>
            <showVal val="1"/>
            <showCatName val="0"/>
            <showSerName val="0"/>
            <showPercent val="0"/>
            <showBubbleSize val="1"/>
            <showLeaderLines val="0"/>
          </dLbls>
          <cat>
            <strRef>
              <f>'Summary &amp; Graphs'!$B$21:$D$21</f>
              <strCache>
                <ptCount val="3"/>
                <pt idx="0">
                  <v>Model 1</v>
                </pt>
                <pt idx="1">
                  <v>Model 2</v>
                </pt>
                <pt idx="2">
                  <v>Model 3</v>
                </pt>
              </strCache>
            </strRef>
          </cat>
          <val>
            <numRef>
              <f>'Summary &amp; Graphs'!$B$22:$D$22</f>
              <numCache>
                <formatCode>0.0</formatCode>
                <ptCount val="3"/>
                <pt idx="0">
                  <v>0</v>
                </pt>
                <pt idx="1">
                  <v>5.991288614138373</v>
                </pt>
                <pt idx="2">
                  <v>4.585273787197928</v>
                </pt>
              </numCache>
            </numRef>
          </val>
        </ser>
        <dLbls>
          <showLegendKey val="0"/>
          <showVal val="0"/>
          <showCatName val="0"/>
          <showSerName val="0"/>
          <showPercent val="0"/>
          <showBubbleSize val="0"/>
        </dLbls>
        <gapWidth val="219"/>
        <overlap val="-27"/>
        <axId val="7686372"/>
        <axId val="88245601"/>
      </barChart>
      <catAx>
        <axId val="7686372"/>
        <scaling>
          <orientation val="minMax"/>
        </scaling>
        <delete val="0"/>
        <axPos val="b"/>
        <numFmt formatCode="General" sourceLinked="0"/>
        <majorTickMark val="none"/>
        <minorTickMark val="none"/>
        <tickLblPos val="nextTo"/>
        <spPr>
          <a:ln xmlns:a="http://schemas.openxmlformats.org/drawingml/2006/main" w="9360">
            <a:solidFill>
              <a:srgbClr val="D9D9D9"/>
            </a:solidFill>
            <a:prstDash val="solid"/>
            <a:roun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
            </a:r>
            <a:endParaRPr lang="en-US"/>
          </a:p>
        </txPr>
        <crossAx val="88245601"/>
        <crosses val="autoZero"/>
        <auto val="1"/>
        <lblAlgn val="ctr"/>
        <lblOffset val="100"/>
        <noMultiLvlLbl val="0"/>
      </catAx>
      <valAx>
        <axId val="88245601"/>
        <scaling>
          <orientation val="minMax"/>
        </scaling>
        <delete val="0"/>
        <axPos val="l"/>
        <majorGridlines>
          <spPr>
            <a:ln xmlns:a="http://schemas.openxmlformats.org/drawingml/2006/main" w="9360">
              <a:solidFill>
                <a:srgbClr val="D9D9D9"/>
              </a:solidFill>
              <a:prstDash val="solid"/>
              <a:round/>
            </a:ln>
          </spPr>
        </majorGridlines>
        <title>
          <tx>
            <rich>
              <a:bodyPr xmlns:a="http://schemas.openxmlformats.org/drawingml/2006/main" rot="-5400000"/>
              <a:lstStyle xmlns:a="http://schemas.openxmlformats.org/drawingml/2006/main"/>
              <a:p xmlns:a="http://schemas.openxmlformats.org/drawingml/2006/main">
                <a:pPr>
                  <a:defRPr lang="en-US" sz="1000" b="0" strike="noStrike" spc="-1">
                    <a:solidFill>
                      <a:srgbClr val="595959"/>
                    </a:solidFill>
                    <a:latin typeface="Calibri"/>
                  </a:defRPr>
                </a:pPr>
                <a:r>
                  <a:rPr lang="en-US" sz="1000" b="0" strike="noStrike" spc="-1">
                    <a:solidFill>
                      <a:srgbClr val="595959"/>
                    </a:solidFill>
                    <a:latin typeface="Calibri"/>
                  </a:rPr>
                  <a:t>Tahun</a:t>
                </a:r>
              </a:p>
            </rich>
          </tx>
          <overlay val="0"/>
          <spPr>
            <a:noFill xmlns:a="http://schemas.openxmlformats.org/drawingml/2006/main"/>
            <a:ln xmlns:a="http://schemas.openxmlformats.org/drawingml/2006/main" w="0">
              <a:noFill/>
              <a:prstDash val="solid"/>
            </a:ln>
          </spPr>
        </title>
        <numFmt formatCode="0" sourceLinked="0"/>
        <majorTickMark val="none"/>
        <minorTickMark val="none"/>
        <tickLblPos val="nextTo"/>
        <spPr>
          <a:ln xmlns:a="http://schemas.openxmlformats.org/drawingml/2006/main" w="9360">
            <a:noFill/>
            <a:prstDash val="solid"/>
          </a:ln>
        </spPr>
        <txPr>
          <a:bodyPr xmlns:a="http://schemas.openxmlformats.org/drawingml/2006/main"/>
          <a:lstStyle xmlns:a="http://schemas.openxmlformats.org/drawingml/2006/main"/>
          <a:p xmlns:a="http://schemas.openxmlformats.org/drawingml/2006/main">
            <a:pPr>
              <a:defRPr sz="900" b="0" strike="noStrike" spc="-1">
                <a:solidFill>
                  <a:srgbClr val="595959"/>
                </a:solidFill>
                <a:latin typeface="Calibri"/>
              </a:defRPr>
            </a:pPr>
            <a:r>
              <a:t/>
            </a:r>
            <a:endParaRPr lang="en-US"/>
          </a:p>
        </txPr>
        <crossAx val="7686372"/>
        <crosses val="autoZero"/>
        <crossBetween val="between"/>
      </valAx>
    </plotArea>
    <plotVisOnly val="1"/>
    <dispBlanksAs val="gap"/>
  </chart>
  <spPr>
    <a:solidFill xmlns:a="http://schemas.openxmlformats.org/drawingml/2006/main">
      <a:srgbClr val="FFFFFF"/>
    </a:solidFill>
    <a:ln xmlns:a="http://schemas.openxmlformats.org/drawingml/2006/main" w="9360">
      <a:solidFill>
        <a:srgbClr val="D9D9D9"/>
      </a:solidFill>
      <a:prstDash val="solid"/>
      <a:round/>
    </a:ln>
  </spPr>
</chartSpace>
</file>

<file path=xl/charts/chart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IRR (%)</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col"/>
        <grouping val="clustered"/>
        <varyColors val="0"/>
        <ser>
          <idx val="0"/>
          <order val="0"/>
          <tx>
            <strRef>
              <f>'Summary &amp; Graphs'!$A$25:$B$25</f>
              <strCache>
                <ptCount val="2"/>
                <pt idx="0">
                  <v>IRR</v>
                </pt>
                <pt idx="1">
                  <v>N/A</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50" b="1" i="0" strike="noStrike" kern="1200" baseline="0">
                    <a:solidFill>
                      <a:schemeClr val="tx1">
                        <a:lumMod val="75000"/>
                        <a:lumOff val="25000"/>
                      </a:schemeClr>
                    </a:solidFill>
                    <a:latin typeface="+mn-lt"/>
                    <a:ea typeface="+mn-ea"/>
                    <a:cs typeface="+mn-cs"/>
                  </a:defRPr>
                </a:pPr>
                <a:r>
                  <a:t/>
                </a:r>
                <a:endParaRPr lang="en-US"/>
              </a:p>
            </txPr>
            <dLblPos val="outEnd"/>
            <showLegendKey val="0"/>
            <showVal val="1"/>
            <showCatName val="0"/>
            <showSerName val="0"/>
            <showPercent val="0"/>
            <showBubbleSize val="0"/>
            <showLeaderLines val="0"/>
          </dLbls>
          <cat>
            <strRef>
              <f>'Summary &amp; Graphs'!$C$24:$D$24</f>
              <strCache>
                <ptCount val="2"/>
                <pt idx="0">
                  <v>Model 2</v>
                </pt>
                <pt idx="1">
                  <v>Model 3</v>
                </pt>
              </strCache>
            </strRef>
          </cat>
          <val>
            <numRef>
              <f>'Summary &amp; Graphs'!$C$25:$D$25</f>
              <numCache>
                <formatCode>0.0%</formatCode>
                <ptCount val="2"/>
                <pt idx="0">
                  <v>0.1824565731523453</v>
                </pt>
                <pt idx="1">
                  <v>0.2383135570724053</v>
                </pt>
              </numCache>
            </numRef>
          </val>
        </ser>
        <dLbls>
          <showLegendKey val="0"/>
          <showVal val="0"/>
          <showCatName val="0"/>
          <showSerName val="0"/>
          <showPercent val="0"/>
          <showBubbleSize val="0"/>
        </dLbls>
        <gapWidth val="219"/>
        <overlap val="-27"/>
        <axId val="883885920"/>
        <axId val="883873920"/>
      </barChart>
      <catAx>
        <axId val="883885920"/>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883873920"/>
        <crosses val="autoZero"/>
        <auto val="1"/>
        <lblAlgn val="ctr"/>
        <lblOffset val="100"/>
        <noMultiLvlLbl val="0"/>
      </catAx>
      <valAx>
        <axId val="883873920"/>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IRR</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883885920"/>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Tarif Listrik ke Pelanggan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col"/>
        <grouping val="clustered"/>
        <varyColors val="0"/>
        <ser>
          <idx val="0"/>
          <order val="0"/>
          <tx>
            <strRef>
              <f>'Summary &amp; Graphs'!$A$28</f>
              <strCache>
                <ptCount val="1"/>
                <pt idx="0">
                  <v>Tarif listrik ke pelanggan (Rp/kWh)</v>
                </pt>
              </strCache>
            </strRef>
          </tx>
          <spPr>
            <a:solidFill xmlns:a="http://schemas.openxmlformats.org/drawingml/2006/main">
              <a:schemeClr val="accent1"/>
            </a:solidFill>
            <a:ln xmlns:a="http://schemas.openxmlformats.org/drawingml/2006/main">
              <a:noFill/>
              <a:prstDash val="solid"/>
            </a:ln>
          </spPr>
          <invertIfNegative val="0"/>
          <cat>
            <strRef>
              <f>'Summary &amp; Graphs'!$B$27:$D$27</f>
              <strCache>
                <ptCount val="3"/>
                <pt idx="0">
                  <v>Model 1</v>
                </pt>
                <pt idx="1">
                  <v>Model 2</v>
                </pt>
                <pt idx="2">
                  <v>Model 3</v>
                </pt>
              </strCache>
            </strRef>
          </cat>
          <val>
            <numRef>
              <f>'Summary &amp; Graphs'!$B$28:$D$28</f>
              <numCache>
                <formatCode>#,##0</formatCode>
                <ptCount val="3"/>
                <pt idx="0">
                  <v>2000</v>
                </pt>
                <pt idx="1">
                  <v>500</v>
                </pt>
                <pt idx="2">
                  <v>2000</v>
                </pt>
              </numCache>
            </numRef>
          </val>
        </ser>
        <dLbls>
          <showLegendKey val="0"/>
          <showVal val="0"/>
          <showCatName val="0"/>
          <showSerName val="0"/>
          <showPercent val="0"/>
          <showBubbleSize val="0"/>
        </dLbls>
        <gapWidth val="219"/>
        <overlap val="-27"/>
        <axId val="1116750304"/>
        <axId val="1116750784"/>
      </barChart>
      <catAx>
        <axId val="1116750304"/>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116750784"/>
        <crosses val="autoZero"/>
        <auto val="1"/>
        <lblAlgn val="ctr"/>
        <lblOffset val="100"/>
        <noMultiLvlLbl val="0"/>
      </catAx>
      <valAx>
        <axId val="1116750784"/>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Rp/kWh</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1116750304"/>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Perkiraan Tambahan Subsidi</a:t>
            </a:r>
            <a:r>
              <a:rPr lang="en-US" baseline="0"/>
              <a:t xml:space="preserve"> dari </a:t>
            </a:r>
          </a:p>
          <a:p xmlns:a="http://schemas.openxmlformats.org/drawingml/2006/main">
            <a:pPr>
              <a:defRPr/>
            </a:pPr>
            <a:r>
              <a:rPr lang="en-US" baseline="0"/>
              <a:t>Pemerintah Pusat</a:t>
            </a:r>
            <a:endParaRPr lang="en-US"/>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
          </a:r>
          <a:endParaRPr lang="en-US"/>
        </a:p>
      </txPr>
    </title>
    <plotArea>
      <layout/>
      <barChart>
        <barDir val="col"/>
        <grouping val="stacked"/>
        <varyColors val="0"/>
        <ser>
          <idx val="0"/>
          <order val="0"/>
          <tx>
            <strRef>
              <f>'Summary &amp; Graphs'!$A$31</f>
              <strCache>
                <ptCount val="1"/>
                <pt idx="0">
                  <v>Tambahan subsidi listrik ke PLN</v>
                </pt>
              </strCache>
            </strRef>
          </tx>
          <spPr>
            <a:solidFill xmlns:a="http://schemas.openxmlformats.org/drawingml/2006/main">
              <a:schemeClr val="accent1"/>
            </a:solidFill>
            <a:ln xmlns:a="http://schemas.openxmlformats.org/drawingml/2006/main">
              <a:noFill/>
              <a:prstDash val="solid"/>
            </a:ln>
          </spPr>
          <invertIfNegative val="0"/>
          <cat>
            <strRef>
              <f>'Summary &amp; Graphs'!$B$30:$D$30</f>
              <strCache>
                <ptCount val="3"/>
                <pt idx="0">
                  <v>Model 1</v>
                </pt>
                <pt idx="1">
                  <v>Model 2</v>
                </pt>
                <pt idx="2">
                  <v>Model 3</v>
                </pt>
              </strCache>
            </strRef>
          </cat>
          <val>
            <numRef>
              <f>'Summary &amp; Graphs'!$B$31:$D$31</f>
              <numCache>
                <formatCode>0</formatCode>
                <ptCount val="3"/>
                <pt idx="0">
                  <formatCode>General</formatCode>
                  <v>0</v>
                </pt>
                <pt idx="1">
                  <v>820.3837600000001</v>
                </pt>
                <pt idx="2">
                  <formatCode>General</formatCode>
                  <v>0</v>
                </pt>
              </numCache>
            </numRef>
          </val>
        </ser>
        <ser>
          <idx val="1"/>
          <order val="1"/>
          <tx>
            <strRef>
              <f>'Summary &amp; Graphs'!$A$32</f>
              <strCache>
                <ptCount val="1"/>
                <pt idx="0">
                  <v>Subsidi infrastruktur PLTS ke KDKMP</v>
                </pt>
              </strCache>
            </strRef>
          </tx>
          <spPr>
            <a:solidFill xmlns:a="http://schemas.openxmlformats.org/drawingml/2006/main">
              <a:schemeClr val="accent2"/>
            </a:solidFill>
            <a:ln xmlns:a="http://schemas.openxmlformats.org/drawingml/2006/main">
              <a:noFill/>
              <a:prstDash val="solid"/>
            </a:ln>
          </spPr>
          <invertIfNegative val="0"/>
          <cat>
            <strRef>
              <f>'Summary &amp; Graphs'!$B$30:$D$30</f>
              <strCache>
                <ptCount val="3"/>
                <pt idx="0">
                  <v>Model 1</v>
                </pt>
                <pt idx="1">
                  <v>Model 2</v>
                </pt>
                <pt idx="2">
                  <v>Model 3</v>
                </pt>
              </strCache>
            </strRef>
          </cat>
          <val>
            <numRef>
              <f>'Summary &amp; Graphs'!$B$32:$D$32</f>
              <numCache>
                <formatCode>#,##0</formatCode>
                <ptCount val="3"/>
                <pt idx="0">
                  <v>0</v>
                </pt>
                <pt idx="1">
                  <v>80</v>
                </pt>
                <pt idx="2">
                  <v>80</v>
                </pt>
              </numCache>
            </numRef>
          </val>
        </ser>
        <ser>
          <idx val="2"/>
          <order val="2"/>
          <tx>
            <strRef>
              <f>'Summary &amp; Graphs'!$A$33</f>
              <strCache>
                <ptCount val="1"/>
                <pt idx="0">
                  <v>Subsidi infrastruktur aset produktif ke KDKMP</v>
                </pt>
              </strCache>
            </strRef>
          </tx>
          <spPr>
            <a:solidFill xmlns:a="http://schemas.openxmlformats.org/drawingml/2006/main">
              <a:schemeClr val="accent3"/>
            </a:solidFill>
            <a:ln xmlns:a="http://schemas.openxmlformats.org/drawingml/2006/main">
              <a:noFill/>
              <a:prstDash val="solid"/>
            </a:ln>
          </spPr>
          <invertIfNegative val="0"/>
          <cat>
            <strRef>
              <f>'Summary &amp; Graphs'!$B$30:$D$30</f>
              <strCache>
                <ptCount val="3"/>
                <pt idx="0">
                  <v>Model 1</v>
                </pt>
                <pt idx="1">
                  <v>Model 2</v>
                </pt>
                <pt idx="2">
                  <v>Model 3</v>
                </pt>
              </strCache>
            </strRef>
          </cat>
          <val>
            <numRef>
              <f>'Summary &amp; Graphs'!$B$33:$D$33</f>
              <numCache>
                <formatCode>#,##0</formatCode>
                <ptCount val="3"/>
                <pt idx="0">
                  <v>0</v>
                </pt>
                <pt idx="1">
                  <v>0</v>
                </pt>
                <pt idx="2">
                  <v>0</v>
                </pt>
              </numCache>
            </numRef>
          </val>
        </ser>
        <dLbls>
          <showLegendKey val="0"/>
          <showVal val="0"/>
          <showCatName val="0"/>
          <showSerName val="0"/>
          <showPercent val="0"/>
          <showBubbleSize val="0"/>
        </dLbls>
        <gapWidth val="150"/>
        <overlap val="100"/>
        <axId val="916117680"/>
        <axId val="916118160"/>
      </barChart>
      <catAx>
        <axId val="916117680"/>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916118160"/>
        <crosses val="autoZero"/>
        <auto val="1"/>
        <lblAlgn val="ctr"/>
        <lblOffset val="100"/>
        <noMultiLvlLbl val="0"/>
      </catAx>
      <valAx>
        <axId val="916118160"/>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title>
          <tx>
            <rich>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rPr lang="en-US"/>
                  <a:t>Rp juta/tahun</a:t>
                </a:r>
              </a:p>
            </rich>
          </tx>
          <overlay val="0"/>
          <spPr>
            <a:noFill xmlns:a="http://schemas.openxmlformats.org/drawingml/2006/main"/>
            <a:ln xmlns:a="http://schemas.openxmlformats.org/drawingml/2006/main">
              <a:noFill/>
              <a:prstDash val="solid"/>
            </a:ln>
          </spPr>
          <txPr>
            <a:bodyPr xmlns:a="http://schemas.openxmlformats.org/drawingml/2006/main" rot="-5400000" spcFirstLastPara="1" vertOverflow="ellipsis" vert="horz" wrap="square" anchor="ctr" anchorCtr="1"/>
            <a:lstStyle xmlns:a="http://schemas.openxmlformats.org/drawingml/2006/main"/>
            <a:p xmlns:a="http://schemas.openxmlformats.org/drawingml/2006/main">
              <a:pPr>
                <a:defRPr sz="1000" b="0" i="0" strike="noStrike" kern="1200" baseline="0">
                  <a:solidFill>
                    <a:schemeClr val="tx1">
                      <a:lumMod val="65000"/>
                      <a:lumOff val="35000"/>
                    </a:schemeClr>
                  </a:solidFill>
                  <a:latin typeface="+mn-lt"/>
                  <a:ea typeface="+mn-ea"/>
                  <a:cs typeface="+mn-cs"/>
                </a:defRPr>
              </a:pPr>
              <a:r>
                <a:t/>
              </a:r>
              <a:endParaRPr lang="en-US"/>
            </a:p>
          </txPr>
        </title>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crossAx val="916117680"/>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omments/comment1.xml><?xml version="1.0" encoding="utf-8"?>
<comments xmlns="http://schemas.openxmlformats.org/spreadsheetml/2006/main">
  <authors>
    <author>Abraham Octama Halim</author>
  </authors>
  <commentList>
    <comment ref="E15" authorId="0" shapeId="0">
      <text>
        <t>Abraham Octama Halim:
x2.5 karena frozen storage</t>
      </text>
    </comment>
  </commentList>
</comments>
</file>

<file path=xl/comments/comment2.xml><?xml version="1.0" encoding="utf-8"?>
<comments xmlns="http://schemas.openxmlformats.org/spreadsheetml/2006/main">
  <authors>
    <author>Unknown Author</author>
  </authors>
  <commentList>
    <comment ref="C6" authorId="0" shapeId="0">
      <text>
        <t>PERUBAHAN: nilai dipertahankan (200 KK)
✅ SESUAI DATA KEMENKOP
Dari slide Kemenkop: 200 KK per KDKMP desa perikanan
Sumber: Slide Kemenkop 2024 'Program KDKMP'</t>
      </text>
    </comment>
    <comment ref="C7" authorId="0" shapeId="0">
      <text>
        <t>PERUBAHAN: nilai dipertahankan (3.4 kWh/hari/KK)
✅ DALAM RENTANG — MTF Tier 4+
MTF (Multi-Tier Framework) ESMAP:
  Tier 3 = 1.0 kWh/hari, Tier 4 = 3.0 kWh/hari, Tier 5 = 8.0 kWh/hari
3.4 kWh/hari = sedikit di atas batas bawah Tier 4 — wajar untuk desa nelayan
Rata-rata rumah tangga Indonesia (2023): 4.2 kWh/hari (BPS)
Sumber: ESMAP MTF (2023); BPS Survei Penggunaan Listrik 2023</t>
      </text>
    </comment>
    <comment ref="C11" authorId="0" shapeId="0">
      <text>
        <t>PERUBAHAN: nilai dipertahankan (1,660 Rp juta/tahun)
✅ SESUAI DATA KEMENKOP
Target pendapatan ikan dari slide Kemenkop 2024
= 200 KK × Rp 8.3 juta/KK/tahun — masuk akal untuk nelayan pesisir
Sumber: Slide Kemenkop 2024 'Program KDKMP Desa Perikanan'</t>
      </text>
    </comment>
    <comment ref="C12" authorId="0" shapeId="0">
      <text>
        <t>PERUBAHAN: nilai dipertahankan (7.5 Rp juta/ton)
✅ DALAM RENTANG
Profit bersih per ton ikan laut segar (nelayan skala kecil):
  Harga jual ikan eceran: Rp 15,000–40,000/kg (BPS 2023)
  Harga jual nelayan ke pengepul: Rp 8,000–20,000/kg
  Biaya produksi (BBM, es, jaring, dll): ~50–65% dari harga jual
  Profit: Rp 3,000–7,000/kg → Rp 3–7 juta/ton
  Dengan perahu LISTRIK (hemat BBM), profit naik ke Rp 7–12 juta/ton
Rp 7.5 juta/ton adalah estimasi yang wajar DENGAN asumsi perahu listrik
Sumber: KKP RI (2022) 'Nilai Tukar Nelayan'; BPS (2023) Harga Ikan</t>
      </text>
    </comment>
    <comment ref="C16" authorId="0" shapeId="0">
      <text>
        <t>PERUBAHAN: nilai dipertahankan (2,190 Rp juta/tahun)
✅ SESUAI DATA KEMENKOP
Target pendapatan es dari slide Kemenkop 2024
Sumber: Slide Kemenkop 2024 'Program KDKMP Desa Perikanan'</t>
      </text>
    </comment>
    <comment ref="C17" authorId="0" shapeId="0">
      <text>
        <t>PERUBAHAN: nilai dipertahankan (0.8 Rp juta/ton es)
⚠️ PERHATIAN — nilai ini menghasilkan target es yang sangat tinggi
C18 = 2190/0.8 = 2,737 ton es/tahun = 7.5 ton es/hari
Ini jauh melebihi kebutuhan internal desa (target ikan ~221 ton/thn → butuh ~221 ton es)
Kelebihan ~2,516 ton es/tahun adalah untuk DIJUAL ke desa lain atau ekspor
Catatan user: 'asbun dulu biar dapet PLTS 400 kWp' — angka ini memang
sengaja dinaikkan untuk menjustifikasi kapasitas PLTS besar (oversized)
Harga es balok di Indonesia: Rp 500,000–900,000/ton (Rp 0.5–0.9 juta/ton)
Biaya produksi (listrik ~100 kWh/ton × Rp 2,000/kWh = Rp 200,000/ton + overhead)
Profit wajar: Rp 200,000–500,000/ton = Rp 0.2–0.5 juta/ton
Nilai 0.8 juta/ton = TERLALU TINGGI jika PLTS sudah diberi gratis
Rekomendasi: gunakan Rp 0.4–0.6 juta/ton untuk skenario realistis
Sumber: Asosiasi Es Indonesia (2023); distributor es Surabaya market survey</t>
      </text>
    </comment>
    <comment ref="D28" authorId="0" shapeId="0">
      <text>
        <t>Nilai tengah referensi: 130 kWh/ton
SEAFDEC (2022); FAO (2023) — kisaran 80–200 kWh/ton
Lihat sheet 📖 untuk kisaran low/mid/high.</t>
      </text>
    </comment>
    <comment ref="D29" authorId="0" shapeId="0">
      <text>
        <t>Nilai tengah referensi: 18 kWh/ton
SEAFDEC (2019); WorldFish (2021) — kisaran 10–30 kWh/ton
Lihat sheet 📖 untuk kisaran low/mid/high.</t>
      </text>
    </comment>
    <comment ref="D30" authorId="0" shapeId="0">
      <text>
        <t>Nilai tengah referensi: 6 kWh/ton
FAO (2020) — kisaran 3–12 kWh/ton
Lihat sheet 📖 untuk kisaran low/mid/high.</t>
      </text>
    </comment>
    <comment ref="D32" authorId="0" shapeId="0">
      <text>
        <t>Nilai tengah referensi: 8 kWh/ton
KKP RI (2021); FAO (2014) — kisaran 5–15 kWh/ton
Lihat sheet 📖 untuk kisaran low/mid/high.</t>
      </text>
    </comment>
    <comment ref="D33" authorId="0" shapeId="0">
      <text>
        <t>Nilai tengah referensi: 4 kWh/ton
FAO Technical Paper 506 (2007) — kisaran 2–8 kWh/ton
Lihat sheet 📖 untuk kisaran low/mid/high.</t>
      </text>
    </comment>
    <comment ref="D35" authorId="0" shapeId="0">
      <text>
        <t>Nilai tengah referensi: 110 kWh/ton
FAO (2005) 'Ice in Fisheries'; ASHRAE (2018) — kisaran 80–140 kWh/ton
Lihat sheet 📖 untuk kisaran low/mid/high.</t>
      </text>
    </comment>
    <comment ref="D36" authorId="0" shapeId="0">
      <text>
        <t>Nilai tengah referensi: 40 kWh/ton
FAO (2005); IIR (2016) — kisaran 25–65 kWh/ton
Lihat sheet 📖 untuk kisaran low/mid/high.</t>
      </text>
    </comment>
    <comment ref="D37" authorId="0" shapeId="0">
      <text>
        <t>Nilai tengah referensi: 175 kWh/ton
IIR (2016); ASHRAE (2018) — kisaran 120–240 kWh/ton
Lihat sheet 📖 untuk kisaran low/mid/high.</t>
      </text>
    </comment>
    <comment ref="D39" authorId="0" shapeId="0">
      <text>
        <t>Nilai tengah referensi: 15 kWh/ton
FAO (2014); WorldFish (2021) — kisaran 8–25 kWh/ton
Lihat sheet 📖 untuk kisaran low/mid/high.</t>
      </text>
    </comment>
    <comment ref="D40" authorId="0" shapeId="0">
      <text>
        <t>Nilai tengah referensi: 500 kWh/ton
FAO (2013); UNIDO (2019) — kisaran 300–800 kWh/ton ⚠️ TINGGI
Lihat sheet 📖 untuk kisaran low/mid/high.</t>
      </text>
    </comment>
    <comment ref="D41" authorId="0" shapeId="0">
      <text>
        <t>Nilai tengah referensi: 35 kWh/ton
FAO (2014); UNIDO (2019) — kisaran 20–55 kWh/ton
Lihat sheet 📖 untuk kisaran low/mid/high.</t>
      </text>
    </comment>
    <comment ref="D43" authorId="0" shapeId="0">
      <text>
        <t>Nilai tengah referensi: 4 kWh/ton
FAO (2007); generic pump calc — kisaran 2–7 kWh/ton
Lihat sheet 📖 untuk kisaran low/mid/high.</t>
      </text>
    </comment>
    <comment ref="D44" authorId="0" shapeId="0">
      <text>
        <t>Nilai tengah referensi: 20 kWh/ton
FAO (2012); WorldFish (2020) — kisaran 10–35 kWh/ton
Lihat sheet 📖 untuk kisaran low/mid/high.</t>
      </text>
    </comment>
    <comment ref="D45" authorId="0" shapeId="0">
      <text>
        <t>Nilai tengah referensi: 5 kWh/ton
SNI 03-6197-2011; IEA (2020) — kisaran 3–10 kWh/ton
Lihat sheet 📖 untuk kisaran low/mid/high.</t>
      </text>
    </comment>
    <comment ref="D47" authorId="0" shapeId="0">
      <text>
        <t>Nilai tengah referensi: 25 kWh/ton
IEA (2022); IRENA (2021) — kisaran 15–40 kWh/ton
Lihat sheet 📖 untuk kisaran low/mid/high.</t>
      </text>
    </comment>
    <comment ref="D48" authorId="0" shapeId="0">
      <text>
        <t>Nilai tengah referensi: 14 kWh/ton
ASHRAE (2018) Commercial Refrigeration — kisaran 8–22 kWh/ton
Lihat sheet 📖 untuk kisaran low/mid/high.</t>
      </text>
    </comment>
  </commentList>
</comments>
</file>

<file path=xl/comments/comment3.xml><?xml version="1.0" encoding="utf-8"?>
<comments xmlns="http://schemas.openxmlformats.org/spreadsheetml/2006/main">
  <authors>
    <author>Unknown Author</author>
  </authors>
  <commentList>
    <comment ref="E6" authorId="0" shapeId="0">
      <text>
        <t>PERUBAHAN: nilai dipertahankan (200 hari/tahun)
✅ DALAM RENTANG
Hari melaut nelayan Indonesia: 150–260 hari/tahun (tergantung musim)
200 hari = asumsi konservatif wajar
Sumber: KKP RI (2022) 'Statistik Perikanan Tangkap'; Mulyadi (2021)</t>
      </text>
    </comment>
    <comment ref="E8" authorId="0" shapeId="0">
      <text>
        <t>PERUBAHAN: nilai dipertahankan (150 kg/trip)
✅ DALAM RENTANG untuk kapal &lt;5 GT
Rata-rata tangkapan kapal &lt; 5 GT: 50–300 kg/trip
150 kg/trip = nilai tengah yang wajar
Sumber: KKP RI (2022) 'Profil Kapal Perikanan &lt;5 GT'</t>
      </text>
    </comment>
    <comment ref="E10" authorId="0" shapeId="0">
      <text>
        <t>PERUBAHAN: nilai dipertahankan (3.7 kW = 5 HP)
✅ SESUAI STANDAR
Motor listrik untuk kapal &lt;5 GT: 3–7.5 kW (4–10 HP)
3.7 kW (5 HP) adalah ukuran umum untuk perahu nelayan kecil
Sumber: SEAFDEC (2022) 'Electric Propulsion for Small-Scale Fisheries'</t>
      </text>
    </comment>
    <comment ref="E14" authorId="0" shapeId="0">
      <text>
        <t>PERUBAHAN: diubah dari 5 ke 4 ton/hari/unit
✅ TERSEDIA DI PASARAN
Unit ice maker komersial tersedia: 1, 2, 4, 5, 10 ton/hari
4 ton/hari adalah ukuran umum di Indonesia (merek SDE, Focusun, dll)
Perubahan dari 5 ke 4 ton memberi estimasi unit lebih konservatif (+1 unit)
Sumber: distributor ice machine Jakarta &amp; Surabaya (2024)</t>
      </text>
    </comment>
    <comment ref="E16" authorId="0" shapeId="0">
      <text>
        <t>PERUBAHAN: nilai dipertahankan (5 hari)
✅ DALAM RENTANG
Waktu simpan ikan segar di cold storage sebelum distribusi: 3–14 hari
5 hari = konservatif untuk desa nelayan yang menjual ikan segar
Sumber: FAO (2005) 'Ice in Fisheries'; KKP RI (2021)</t>
      </text>
    </comment>
    <comment ref="E24" authorId="0" shapeId="0">
      <text>
        <t>PERUBAHAN: diubah dari 10 ke 12 jam/hari
✅ WAJAR untuk fasilitas perikanan
Jam operasi TPI + fasilitas pengolahan: 10–16 jam/hari
12 jam mencakup persiapan subuh (landing) + pengolahan sore
Sumber: SNI 03-6197-2011; observasi TPI KKP 2022</t>
      </text>
    </comment>
    <comment ref="I30" authorId="0" shapeId="0">
      <text>
        <t>Rp 50 juta/kapal = konversi motor listrik Rp 15–20 jt + baterai ~25 kWh Rp 25–30 jt + charger Rp 5–8 jt. Sumber: KESDM (2023), market survey</t>
      </text>
    </comment>
    <comment ref="I31" authorId="0" shapeId="0">
      <text>
        <t>Rp 2 juta/set = 2×LED 50W + kabel waterproof + housing. Sumber: toko maritim Surabaya 2024</t>
      </text>
    </comment>
    <comment ref="I32" authorId="0" shapeId="0">
      <text>
        <t>Rp 5 juta/unit = GPS chartplotter + echosounder entry-level. Sumber: toko marine electronics 2024</t>
      </text>
    </comment>
    <comment ref="I34" authorId="0" shapeId="0">
      <text>
        <t>Rp 0.15 juta/panel = LED panel 36W industri. Sumber: e-katalog LKPP 2024</t>
      </text>
    </comment>
    <comment ref="I35" authorId="0" shapeId="0">
      <text>
        <t>Rp 10 juta/unit = timbangan digital 500 kg industri (merek lokal). Sumber: tokopedia industrial 2024</t>
      </text>
    </comment>
    <comment ref="I37" authorId="0" shapeId="0">
      <text>
        <t>Rp 180 juta/unit kapasitas 5 ton/hari (merek Asia, compressor Bitzer). Kisaran Rp 150–250 juta. Sumber: distributor ice machine Jakarta 2024</t>
      </text>
    </comment>
    <comment ref="I38" authorId="0" shapeId="0">
      <text>
        <t>Rp 22 juta/m³ = cold room panel prefab + compressor Danfoss, instalasi. Kisaran Rp 18–30 juta/m³. Sumber: PT Frozen Indo, market survey 2024</t>
      </text>
    </comment>
    <comment ref="I39" authorId="0" shapeId="0">
      <text>
        <t>Rp 40 juta/m³ = blast freezer impor (Korea/China). Sumber: market survey 2024</t>
      </text>
    </comment>
    <comment ref="I41" authorId="0" shapeId="0">
      <text>
        <t>Rp 20 juta/unit = mesin fillet semi-otomatis kapasitas 300–500 kg/hari. Sumber: UMKM perikanan Bitung 2023</t>
      </text>
    </comment>
    <comment ref="I42" authorId="0" shapeId="0">
      <text>
        <t>Rp 75 juta/unit heat pump dryer kapasitas 300 kg/batch (merek lokal). Sumber: BPPT (2022)</t>
      </text>
    </comment>
    <comment ref="I43" authorId="0" shapeId="0">
      <text>
        <t>Rp 15 juta/unit = mesin vakum sealer industri 300–500 pcs/jam. Sumber: tokopedia industrial 2024</t>
      </text>
    </comment>
    <comment ref="I45" authorId="0" shapeId="0">
      <text>
        <t>Rp 5 juta/unit = pompa sentrifugal 1–2 m³/jam, head 20m (merek Grundfos/CNP). Sumber: distributor pompa 2024</t>
      </text>
    </comment>
    <comment ref="I46" authorId="0" shapeId="0">
      <text>
        <t>Rp 3 juta/unit aerator 0.75 kW. Sumber: toko akuakultur 2024</t>
      </text>
    </comment>
    <comment ref="I47" authorId="0" shapeId="0">
      <text>
        <t>Rp 0.15 juta/panel LED 36W industri. Sumber: e-katalog LKPP 2024</t>
      </text>
    </comment>
    <comment ref="I49" authorId="0" shapeId="0">
      <text>
        <t>Rp 350 juta/unit EV pikap berpendingin (Rp 250–400 juta). Sumber: DFSK/Wuling distribusi 2024</t>
      </text>
    </comment>
    <comment ref="I50" authorId="0" shapeId="0">
      <text>
        <t>Rp 8 juta/unit = display chiller showcase 300L (merek GEA/Hisense). Sumber: toko peralatan resto 2024</t>
      </text>
    </comment>
    <comment ref="G59" authorId="0" shapeId="0">
      <text>
        <t>Rp 5.5 juta/kWp hanya modul (tier-1 mono PERC 450Wp). Sumber: ESDM tender 2024, PT Len</t>
      </text>
    </comment>
    <comment ref="G60" authorId="0" shapeId="0">
      <text>
        <t>Rp 1.8 juta/kWp inverter string (Huawei/SMA). Sumber: distributor PV 2024</t>
      </text>
    </comment>
    <comment ref="G61" authorId="0" shapeId="0">
      <text>
        <t>Rp 0.8 juta/kWp mounting galvanis + ballast (atap/ground). Sumber: kontraktor EPC 2024</t>
      </text>
    </comment>
    <comment ref="G62" authorId="0" shapeId="0">
      <text>
        <t>Rp 0.5 juta/kWp kabel DC/AC + combiner box + arrester + panel. Sumber: BOS benchmark 10%</t>
      </text>
    </comment>
    <comment ref="G63" authorId="0" shapeId="0">
      <text>
        <t>Rp 3.5 juta/kWh baterai LFP (CATL/BYD prismatic). Kisaran Rp 3–5 juta/kWh. Sumber: IESR (2024)</t>
      </text>
    </comment>
    <comment ref="G64" authorId="0" shapeId="0">
      <text>
        <t>Rp 1 juta/kWh sistem manajemen + integrasi. ~25–30% dari biaya baterai</t>
      </text>
    </comment>
    <comment ref="G65" authorId="0" shapeId="0">
      <text>
        <t>Rp 6 juta/KK jaringan LV (kabel SR + tiang + MCB). Sumber: PLN distribusi benchmark 2023</t>
      </text>
    </comment>
    <comment ref="G66" authorId="0" shapeId="0">
      <text>
        <t>12% dari biaya hardware PLTS+inverter+mounting+BOS sebagai biaya EPC. Sumber: IESR rule-of-thumb</t>
      </text>
    </comment>
    <comment ref="G67" authorId="0" shapeId="0">
      <text>
        <t>Rp 50 juta lump sum = commissioning + pelatihan teknisi KDKMP (3 hari). Sumber: expert estimate</t>
      </text>
    </comment>
  </commentList>
</comments>
</file>

<file path=xl/comments/comment4.xml><?xml version="1.0" encoding="utf-8"?>
<comments xmlns="http://schemas.openxmlformats.org/spreadsheetml/2006/main">
  <authors>
    <author>Unknown Author</author>
  </authors>
  <commentList>
    <comment ref="C6" authorId="0" shapeId="0">
      <text>
        <t>PERUBAHAN: nilai dipertahankan (2,000 Rp/kWh)
✅ DALAM RENTANG
Tarif PLN non-subsidi R1 = Rp 1,444–1,699/kWh (Permen ESDM No.3/2020)
Untuk desa terpencil, markup 15-30% di atas PLN adalah wajar
Kisaran wajar: Rp 1,700–2,500/kWh
Sumber: Permen ESDM No. 3 Tahun 2020; PLN tariff list 2024</t>
      </text>
    </comment>
    <comment ref="E6" authorId="0" shapeId="0">
      <text>
        <t>PERUBAHAN: nilai dipertahankan (2,000 Rp/kWh)
✅ DALAM RENTANG — sama dengan Model 1
Sumber: Permen ESDM No. 3 Tahun 2020</t>
      </text>
    </comment>
    <comment ref="C7" authorId="0" shapeId="0">
      <text>
        <t>PERUBAHAN: nilai dipertahankan (1,300 Rp/kWh)
✅ DALAM RENTANG
Harga wholesale IPP mini-grid umumnya Rp 900–1,500/kWh di Indonesia
Margin KDKMP = Rp 700/kWh (35%) — wajar untuk model distribusi
Kisaran wajar: Rp 900–1,500/kWh
Sumber: IESR Mini-Grid Tariff Survey (2023); KESDM IPP benchmark</t>
      </text>
    </comment>
    <comment ref="D8" authorId="0" shapeId="0">
      <text>
        <t>PERUBAHAN: nilai dipertahankan TAPI PERLU VERIFIKASI (908 Rp/kWh)
⚠️ MUNGKIN TERLALU RENDAH untuk desa terpencil
PLN BPP Nasional 2023 = ~Rp 1,020/kWh
PLN BPP untuk wilayah terpencil (Sulawesi, Maluku, NTT, Papua):
  → Rp 1,500–4,500/kWh (jauh lebih tinggi dari Jawa)
Rp 908/kWh hanya cocok jika desa berada di jaringan Jawa/Bali
Kisaran wajar untuk KDKMP terpencil: Rp 1,200–3,000/kWh
Sumber: PLN Laporan BPP 2023 ke ESDM; Permen ESDM No. 50/2017</t>
      </text>
    </comment>
    <comment ref="D9" authorId="0" shapeId="0">
      <text>
        <t>PERUBAHAN: nilai dipertahankan (500 Rp/kWh)
✅ DALAM RENTANG
Tarif R1 subsidi resmi = Rp 415–605/kWh tergantung daya
  R1/450VA = Rp 415/kWh, R1/900VA = Rp 605/kWh
Asumsi Rp 500/kWh adalah rata-rata yang wajar
Sumber: Permen ESDM No. 3 Tahun 2020, Lampiran Tarif Tenaga Listrik</t>
      </text>
    </comment>
    <comment ref="C12" authorId="0" shapeId="0">
      <text>
        <t>PERUBAHAN: nilai dipertahankan (0.88 = 88%)
✅ DALAM RENTANG
Tingkat koleksi koperasi rural Indonesia: 75–95%
88% adalah estimasi konservatif yang wajar
Sumber: KKP RI (2022) 'Koperasi Perikanan'; World Bank Rural Coop Study</t>
      </text>
    </comment>
    <comment ref="D12" authorId="0" shapeId="0">
      <text>
        <t>✅ DALAM RENTANG — lihat komentar C10</t>
      </text>
    </comment>
    <comment ref="E12" authorId="0" shapeId="0">
      <text>
        <t>✅ DALAM RENTANG — lihat komentar C10</t>
      </text>
    </comment>
    <comment ref="C19" authorId="0" shapeId="0">
      <text>
        <t>PERUBAHAN: nilai dipertahankan (80 Rp juta/tahun)
⚠️ ASUMSI KEBIJAKAN — tidak ada benchmark pasti
Subsidi operasional pemerintah ke KDKMP bersifat diskresioner
Kisaran dari program serupa: Rp 50–200 juta/tahun/KDKMP
Rekomendasi: masukkan 0 untuk skenario konservatif (no-subsidy)
Sumber: Kemendesa PDTT Program Elektrifikasi Desa 2022-2023</t>
      </text>
    </comment>
    <comment ref="D19" authorId="0" shapeId="0">
      <text>
        <t>⚠️ ASUMSI KEBIJAKAN — lihat komentar C17</t>
      </text>
    </comment>
    <comment ref="E19" authorId="0" shapeId="0">
      <text>
        <t>⚠️ ASUMSI KEBIJAKAN — lihat komentar C17</t>
      </text>
    </comment>
    <comment ref="E24" authorId="0" shapeId="0">
      <text>
        <t>PERUBAHAN: formula diperbarui.
SEBELUMNYA: =E23*E22*E24/1000000 (tarif flat per kWh)
SESUDAH: linked ke total tabel detail EaaS per aktivitas (lihat B2 di bawah)
Tabel detail dimulai di baris 80.
Perubahan ini membuat EaaS revenue mencerminkan harga layanan aktual
per unit output (per ton es, per m³ cold storage, per kWh charged, dll)
daripada tarif listrik generik.</t>
      </text>
    </comment>
    <comment ref="E25" authorId="0" shapeId="0">
      <text>
        <t>⚠️ ASUMSI KEBIJAKAN — lihat komentar C17</t>
      </text>
    </comment>
    <comment ref="D33" authorId="0" shapeId="0">
      <text>
        <t>PERUBAHAN: nilai dipertahankan (500 Rp juta grant)
⚠️ ASUMSI KEBIJAKAN — verifikasi dengan program aktual
Program Kemenkop: hibah Rp 500 juta–3 miliar per KDKMP (2024-2025)
Angka Rp 500 juta adalah batas bawah — konservatif
Sumber: Kemenkop RI (2024) 'Program KDKMP Fase 1'</t>
      </text>
    </comment>
    <comment ref="E33" authorId="0" shapeId="0">
      <text>
        <t>⚠️ ASUMSI KEBIJAKAN — lihat komentar D34</t>
      </text>
    </comment>
    <comment ref="C38" authorId="0" shapeId="0">
      <text>
        <t>PERUBAHAN: nilai dipertahankan (2% per tahun)
✅ DALAM RENTANG
O&amp;M PLTS industri: 1.5–2.5% dari CAPEX/tahun
2% adalah nilai tengah yang wajar
Sumber: IRENA (2023) 'Renewable Power Generation Costs'; IEA (2023)</t>
      </text>
    </comment>
    <comment ref="C40" authorId="0" shapeId="0">
      <text>
        <t>PERUBAHAN: nilai dipertahankan (5% per tahun)
✅ DALAM RENTANG untuk cold chain equipment
O&amp;M cold storage + ice maker: 3–8% CAPEX/tahun
5% wajar untuk peralatan di lingkungan laut yang korosif
Sumber: FAO (2014) 'Maintenance of Cold Chain Equipment'; ASHRAE (2018)</t>
      </text>
    </comment>
    <comment ref="C42" authorId="0" shapeId="0">
      <text>
        <t>PERUBAHAN: nilai dipertahankan (120 Rp juta/tahun)
✅ DALAM RENTANG
2 staf teknis × UMK Rp 4–5 juta/bln × 12 = Rp 96–120 juta
Ditambah overhead admin ~Rp 20 juta
Sumber: BPS (2024) UMK rata-rata kabupaten pesisir; estimasi IESR</t>
      </text>
    </comment>
    <comment ref="D42" authorId="0" shapeId="0">
      <text>
        <t>✅ DALAM RENTANG — lihat komentar C43</t>
      </text>
    </comment>
    <comment ref="E42" authorId="0" shapeId="0">
      <text>
        <t>PERUBAHAN: nilai dipertahankan (180 Rp juta/tahun)
✅ DALAM RENTANG untuk Model 3 (EaaS)
Model 3 butuh 3+ staf: teknisi PLTS + operator cold storage + admin
3 staf × Rp 4.5 juta/bln × 12 = Rp 162 juta + overhead = ~Rp 180 juta
Sumber: estimasi IESR berdasarkan UMK pesisir 2024</t>
      </text>
    </comment>
    <comment ref="C49" authorId="0" shapeId="0">
      <text>
        <t>PERUBAHAN: nilai dipertahankan (30% net income)
⚠️ ASUMSI KEBIJAKAN
Fraksi pendapatan bersih yang disisihkan untuk pelunasan hibah
30% adalah asumsi moderat — bisa 20–50% tergantung kebijakan program
Sumber: KfW/ADB grant revolving fund models (2022)</t>
      </text>
    </comment>
    <comment ref="C55" authorId="0" shapeId="0">
      <text>
        <t>PERUBAHAN: nilai dipertahankan (20 tahun)
✅ STANDAR INDUSTRI
Umur teknis panel surya: 25–30 tahun
Umur proyek untuk analisis finansial: 20–25 tahun
Sumber: IEC 61215; IRENA (2023)</t>
      </text>
    </comment>
    <comment ref="C56" authorId="0" shapeId="0">
      <text>
        <t>PERUBAHAN: nilai dipertahankan (10% = WACC)
✅ DALAM RENTANG BAWAH
WACC koperasi rural Indonesia: 10–15%
10% adalah hurdle rate minimum; gunakan 12–15% untuk skenario konservatif
Sumber: BI rate 2024 6.25% + country risk + illiquidity premium</t>
      </text>
    </comment>
    <comment ref="C57" authorId="0" shapeId="0">
      <text>
        <t>PERUBAHAN: nilai dipertahankan (3% per tahun)
✅ KONSERVATIF — masuk akal
Pertumbuhan pendapatan KDKMP didorong: kenaikan tarif + volume + anggota baru
3% di bawah inflasi Indonesia (3.5–5%) — asumsi riil negatif = konservatif
Sumber: BPS proyeksi inflasi 2024–2030</t>
      </text>
    </comment>
    <comment ref="C58" authorId="0" shapeId="0">
      <text>
        <t>PERUBAHAN: nilai dipertahankan (0.5%/tahun)
✅ STANDAR INDUSTRI
Degradasi panel surya mono PERC: 0.4–0.7%/tahun
0.5% adalah nilai tengah yang baik
Sumber: NREL (2023) 'PV Module Degradation Rates'</t>
      </text>
    </comment>
    <comment ref="C59" authorId="0" shapeId="0">
      <text>
        <t>PERUBAHAN: nilai dipertahankan (10 tahun)
✅ DALAM RENTANG untuk LFP
Baterai LFP: 3,000–5,000 siklus = 8–14 tahun @ 1 siklus/hari
10 tahun adalah estimasi konservatif yang baik
Sumber: CATL/BYD product specs; IRENA (2023) 'Battery Storage'</t>
      </text>
    </comment>
    <comment ref="F84" authorId="0" shapeId="0">
      <text>
        <t>Tingkat utilisasi = % dari kapasitas/volume yang terpakai dan ditagih.
80% = wajar untuk desa nelayan dengan permintaan musiman.</t>
      </text>
    </comment>
    <comment ref="G84" authorId="0" shapeId="0">
      <text>
        <t>Rp 2,000/kWh = harga listrik ke nelayan + margin layanan charging.
SPLU PLN = Rp 1,650/kWh. KDKMP dapat menambah Rp 200-400 markup.
Kisaran: Rp 1,700–2,500/kWh.
Sumber: PLN SPLU tariff 2024; KESDM 'EV Charging in Fisheries' (2023)</t>
      </text>
    </comment>
    <comment ref="F85" authorId="0" shapeId="0">
      <text>
        <t>Tingkat utilisasi = % dari kapasitas/volume yang terpakai dan ditagih.
80% = wajar untuk desa nelayan dengan permintaan musiman.</t>
      </text>
    </comment>
    <comment ref="G85" authorId="0" shapeId="0">
      <text>
        <t>Rp 10,000/trip pakai set LED per kapal.
Alternatif: sewa tahunan Rp 500,000/kapal/tahun.
Kisaran: Rp 5,000–20,000/trip.
Sumber: estimasi IESR; market survey toko maritim Makassar 2024</t>
      </text>
    </comment>
    <comment ref="F86" authorId="0" shapeId="0">
      <text>
        <t>Tingkat utilisasi = % dari kapasitas/volume yang terpakai dan ditagih.
80% = wajar untuk desa nelayan dengan permintaan musiman.</t>
      </text>
    </comment>
    <comment ref="G86" authorId="0" shapeId="0">
      <text>
        <t>Rp 1,500,000/unit/tahun = sewa GPS + echosounder per kapal.
Alternatif: jual unit kepada nelayan (tidak EaaS).
Kisaran sewa: Rp 1–3 juta/unit/tahun.
Sumber: market survey toko marine electronics Surabaya 2024</t>
      </text>
    </comment>
    <comment ref="F88" authorId="0" shapeId="0">
      <text>
        <t>Tingkat utilisasi = % dari kapasitas/volume yang terpakai dan ditagih.
80% = wajar untuk desa nelayan dengan permintaan musiman.</t>
      </text>
    </comment>
    <comment ref="G88" authorId="0" shapeId="0">
      <text>
        <t>Rp 15,000/trip pendaratan = retribusi TPI per kapal.
Retribusi TPI resmi = 1-3% dari nilai hasil tangkap.
Untuk ikan Rp 1.5 juta/trip → 1% = Rp 15,000/trip.
Kisaran: Rp 10,000–30,000/trip.
Sumber: Perda Retribusi TPI; KKP RI (2021) 'Standar Tarif TPI'</t>
      </text>
    </comment>
    <comment ref="F89" authorId="0" shapeId="0">
      <text>
        <t>Tingkat utilisasi = % dari kapasitas/volume yang terpakai dan ditagih.
80% = wajar untuk desa nelayan dengan permintaan musiman.</t>
      </text>
    </comment>
    <comment ref="G89" authorId="0" shapeId="0">
      <text>
        <t>Rp 25,000/ton = jasa timbang + sortir mekanis.
Manual sorting: Rp 15,000–20,000/ton.
Mekanis dengan conveyor: Rp 20,000–40,000/ton.
Kisaran: Rp 15,000–40,000/ton.
Sumber: estimasi berdasarkan UMK + listrik + depresiasi mesin</t>
      </text>
    </comment>
    <comment ref="F91" authorId="0" shapeId="0">
      <text>
        <t>Tingkat utilisasi = % dari kapasitas/volume yang terpakai dan ditagih.
80% = wajar untuk desa nelayan dengan permintaan musiman.</t>
      </text>
    </comment>
    <comment ref="G91" authorId="0" shapeId="0">
      <text>
        <t>Rp 700,000/ton es = harga jual es balok/es curah.
Harga es di Indonesia (2024):
  Es balok (25 kg): Rp 15,000–25,000 → Rp 600,000–1,000,000/ton
  Es curah (untuk TPI): Rp 500,000–800,000/ton
Kisaran: Rp 500,000–900,000/ton.
Sumber: Asosiasi Es Indonesia (2023); survey pasar ikan Surabaya, Makassar 2024</t>
      </text>
    </comment>
    <comment ref="F92" authorId="0" shapeId="0">
      <text>
        <t>Tingkat utilisasi = % dari kapasitas/volume yang terpakai dan ditagih.
80% = wajar untuk desa nelayan dengan permintaan musiman.</t>
      </text>
    </comment>
    <comment ref="G92" authorId="0" shapeId="0">
      <text>
        <t>Rp 7,000/ton/hari = tarif sewa cold storage.
Cold storage Indonesia (2024):
  Gudang beku komersial: Rp 5,000–15,000/ton/hari
  Cold room skala koperasi: Rp 3,000–8,000/ton/hari
Kisaran: Rp 3,000–15,000/ton/hari.
Sumber: PT Frostindo; Pelabuhan Perikanan Muara Baru tariff 2024</t>
      </text>
    </comment>
    <comment ref="F93" authorId="0" shapeId="0">
      <text>
        <t>Tingkat utilisasi = % dari kapasitas/volume yang terpakai dan ditagih.
80% = wajar untuk desa nelayan dengan permintaan musiman.</t>
      </text>
    </comment>
    <comment ref="G93" authorId="0" shapeId="0">
      <text>
        <t>Rp 250,000/ton = jasa blast freezing ke -18°C hingga -35°C.
Tarif blast freezing Indonesia (2024):
  Komersial: Rp 150,000–400,000/ton
  KUD perikanan dengan subsidi: Rp 100,000–200,000/ton
Kisaran: Rp 150,000–400,000/ton.
Sumber: PT Graha Sarana Duta (GSD); survey cold chain Muara Baru 2024</t>
      </text>
    </comment>
    <comment ref="F95" authorId="0" shapeId="0">
      <text>
        <t>Tingkat utilisasi = % dari kapasitas/volume yang terpakai dan ditagih.
80% = wajar untuk desa nelayan dengan permintaan musiman.</t>
      </text>
    </comment>
    <comment ref="G95" authorId="0" shapeId="0">
      <text>
        <t>Rp 500/kg = biaya jasa fillet (upah + listrik + pisau).
Industri pengolahan ikan Indonesia (2024):
  Manual fillet: Rp 300–600/kg
  Semi-otomatis: Rp 400–800/kg
Kisaran: Rp 300–800/kg.
Sumber: WorldFish (2021); UMKM pengolahan Bitung 2023</t>
      </text>
    </comment>
    <comment ref="F96" authorId="0" shapeId="0">
      <text>
        <t>Tingkat utilisasi = % dari kapasitas/volume yang terpakai dan ditagih.
80% = wajar untuk desa nelayan dengan permintaan musiman.</t>
      </text>
    </comment>
    <comment ref="G96" authorId="0" shapeId="0">
      <text>
        <t>Rp 5,000/kg ikan kering = upah jasa + listrik + kemasan.
Harga jasa pengeringan Indonesia:
  Solar dryer (gratis tenaga matahari): Rp 1,000–2,000/kg kering
  Electric dryer (termasuk listrik): Rp 3,000–8,000/kg kering
Yield: 1 ton ikan segar → ~250 kg ikan kering (ratio 4:1)
Kisaran: Rp 3,000–8,000/kg.
Sumber: BPPT (2022) 'Heat Pump Dryer for Fish'; FAO (2013)</t>
      </text>
    </comment>
    <comment ref="F97" authorId="0" shapeId="0">
      <text>
        <t>Tingkat utilisasi = % dari kapasitas/volume yang terpakai dan ditagih.
80% = wajar untuk desa nelayan dengan permintaan musiman.</t>
      </text>
    </comment>
    <comment ref="G97" authorId="0" shapeId="0">
      <text>
        <t>Rp 300/kg = biaya jasa vakum + kemasan plastik.
Mesin vakum skala UMKM Indonesia:
  Biaya listrik: ~Rp 50/kg
  Kemasan (vacuum bag): Rp 150–250/bag (250-500g per bag)
  Total jasa: Rp 200–500/kg
Kisaran: Rp 200–500/kg.
Sumber: tokopedia industrial 2024; UMKM Branding Ikan KKP 2023</t>
      </text>
    </comment>
    <comment ref="F99" authorId="0" shapeId="0">
      <text>
        <t>Tingkat utilisasi = % dari kapasitas/volume yang terpakai dan ditagih.
80% = wajar untuk desa nelayan dengan permintaan musiman.</t>
      </text>
    </comment>
    <comment ref="G99" authorId="0" shapeId="0">
      <text>
        <t>Rp 1,500/m³ = tarif air bersih untuk pengolahan ikan.
Tarif air PDAM komersial Indonesia: Rp 3,000–8,000/m³
KDKMP dengan pompa sendiri dapat menawarkan Rp 1,000–3,000/m³
Kisaran: Rp 1,000–3,000/m³.
Sumber: PDAM tariff survey 2024; Perda air bersih pesisir</t>
      </text>
    </comment>
    <comment ref="F100" authorId="0" shapeId="0">
      <text>
        <t>Tingkat utilisasi = % dari kapasitas/volume yang terpakai dan ditagih.
80% = wajar untuk desa nelayan dengan permintaan musiman.</t>
      </text>
    </comment>
    <comment ref="G100" authorId="0" shapeId="0">
      <text>
        <t>Rp 100,000/hari = tarif sewa aerasi kolam (listrik + operator).
Setara Rp 36 juta/tahun per kolam — wajar untuk akuakultur.
Kisaran: Rp 50,000–200,000/hari/kolam.
Sumber: KKP RI (2020) 'Standar Biaya Budidaya Ikan'; market survey</t>
      </text>
    </comment>
    <comment ref="F101" authorId="0" shapeId="0">
      <text>
        <t>Tingkat utilisasi = % dari kapasitas/volume yang terpakai dan ditagih.
80% = wajar untuk desa nelayan dengan permintaan musiman.</t>
      </text>
    </comment>
    <comment ref="G101" authorId="0" shapeId="0">
      <text>
        <t>Rp 50,000/hari = biaya sewa fasilitas (termasuk penerangan + air).
Fasilitas processing komunal: Rp 30,000–100,000/hari
Termasuk: pencahayaan, meja kerja, air, akses cold room.
Kisaran: Rp 30,000–100,000/hari.
Sumber: estimasi IESR; KKP (2022) 'Sarana Prasarana TPI'</t>
      </text>
    </comment>
    <comment ref="F103" authorId="0" shapeId="0">
      <text>
        <t>Tingkat utilisasi = % dari kapasitas/volume yang terpakai dan ditagih.
80% = wajar untuk desa nelayan dengan permintaan musiman.</t>
      </text>
    </comment>
    <comment ref="G103" authorId="0" shapeId="0">
      <text>
        <t>Rp 200,000/trip = biaya distribusi dengan kendaraan berpendingin.
Tarif angkutan ikan berpendingin Indonesia (2024):
  Jarak &lt;50 km: Rp 100,000–300,000/trip
  Per ton-km: Rp 500–1,500/ton-km
Kisaran: Rp 100,000–400,000/trip.
Sumber: Asosiasi Pengangkutan Ikan Indonesia (2023); survey ekspedisi 2024</t>
      </text>
    </comment>
    <comment ref="F104" authorId="0" shapeId="0">
      <text>
        <t>Tingkat utilisasi = % dari kapasitas/volume yang terpakai dan ditagih.
80% = wajar untuk desa nelayan dengan permintaan musiman.</t>
      </text>
    </comment>
    <comment ref="G104" authorId="0" shapeId="0">
      <text>
        <t>Rp 75,000/unit/hari = sewa display chiller showcase.
Tarif sewa showcase chiller Indonesia (2024):
  Sewa harian: Rp 50,000–150,000/hari
  Sewa bulanan: Rp 800,000–2,000,000/bulan
Kisaran: Rp 50,000–150,000/hari.
Sumber: toko peralatan resto Jakarta; GEA authorized dealer 2024</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 Type="http://schemas.openxmlformats.org/officeDocument/2006/relationships/chart" Target="/xl/charts/chart7.xml" Id="rId7"/><Relationship Type="http://schemas.openxmlformats.org/officeDocument/2006/relationships/chart" Target="/xl/charts/chart8.xml" Id="rId8"/><Relationship Type="http://schemas.openxmlformats.org/officeDocument/2006/relationships/chart" Target="/xl/charts/chart9.xml" Id="rId9"/><Relationship Type="http://schemas.openxmlformats.org/officeDocument/2006/relationships/chart" Target="/xl/charts/chart10.xml" Id="rId10"/><Relationship Type="http://schemas.openxmlformats.org/officeDocument/2006/relationships/chart" Target="/xl/charts/chart11.xml" Id="rId11"/></Relationships>
</file>

<file path=xl/drawings/drawing1.xml><?xml version="1.0" encoding="utf-8"?>
<wsDr xmlns="http://schemas.openxmlformats.org/drawingml/2006/spreadsheetDrawing">
  <twoCellAnchor editAs="oneCell">
    <from>
      <col>13</col>
      <colOff>343800</colOff>
      <row>20</row>
      <rowOff>147600</rowOff>
    </from>
    <to>
      <col>21</col>
      <colOff>35280</colOff>
      <row>35</row>
      <rowOff>9656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5</col>
      <colOff>522360</colOff>
      <row>20</row>
      <rowOff>126360</rowOff>
    </from>
    <to>
      <col>13</col>
      <colOff>219175</colOff>
      <row>34</row>
      <rowOff>163735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editAs="oneCell">
    <from>
      <col>5</col>
      <colOff>522334</colOff>
      <row>35</row>
      <rowOff>95310</rowOff>
    </from>
    <to>
      <col>13</col>
      <colOff>219934</colOff>
      <row>49</row>
      <rowOff>126465</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editAs="oneCell">
    <from>
      <col>13</col>
      <colOff>343042</colOff>
      <row>35</row>
      <rowOff>110508</rowOff>
    </from>
    <to>
      <col>21</col>
      <colOff>39922</colOff>
      <row>49</row>
      <rowOff>135053</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editAs="oneCell">
    <from>
      <col>5</col>
      <colOff>516600</colOff>
      <row>1</row>
      <rowOff>121615</rowOff>
    </from>
    <to>
      <col>10</col>
      <colOff>188999</colOff>
      <row>20</row>
      <rowOff>45359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editAs="oneCell">
    <from>
      <col>10</col>
      <colOff>333295</colOff>
      <row>1</row>
      <rowOff>144295</rowOff>
    </from>
    <to>
      <col>16</col>
      <colOff>26280</colOff>
      <row>20</row>
      <rowOff>45719</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editAs="oneCell">
    <from>
      <col>16</col>
      <colOff>134999</colOff>
      <row>1</row>
      <rowOff>158890</rowOff>
    </from>
    <to>
      <col>24</col>
      <colOff>354011</colOff>
      <row>20</row>
      <rowOff>67614</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editAs="oneCell">
    <from>
      <col>21</col>
      <colOff>125280</colOff>
      <row>20</row>
      <rowOff>134640</rowOff>
    </from>
    <to>
      <col>26</col>
      <colOff>217014</colOff>
      <row>35</row>
      <rowOff>11653</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21</col>
      <colOff>107552</colOff>
      <row>35</row>
      <rowOff>125809</rowOff>
    </from>
    <to>
      <col>26</col>
      <colOff>214312</colOff>
      <row>50</row>
      <rowOff>130968</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from>
      <col>5</col>
      <colOff>511967</colOff>
      <row>51</row>
      <rowOff>108757</rowOff>
    </from>
    <to>
      <col>13</col>
      <colOff>257967</colOff>
      <row>66</row>
      <rowOff>113519</rowOff>
    </to>
    <graphicFrame>
      <nvGraphicFramePr>
        <cNvPr id="10" name="Chart 10"/>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0"/>
        </a:graphicData>
      </a:graphic>
    </graphicFrame>
    <clientData/>
  </twoCellAnchor>
  <twoCellAnchor>
    <from>
      <col>13</col>
      <colOff>329418</colOff>
      <row>51</row>
      <rowOff>124637</rowOff>
    </from>
    <to>
      <col>21</col>
      <colOff>75418</colOff>
      <row>66</row>
      <rowOff>129399</rowOff>
    </to>
    <graphicFrame>
      <nvGraphicFramePr>
        <cNvPr id="11" name="Chart 1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1"/>
        </a:graphicData>
      </a:graphic>
    </graphicFrame>
    <clientData/>
  </twoCellAnchor>
</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G29"/>
  <sheetViews>
    <sheetView showGridLines="0" zoomScale="90" zoomScaleNormal="90" workbookViewId="0">
      <pane xSplit="1" ySplit="5" topLeftCell="B6" activePane="bottomRight" state="frozen"/>
      <selection pane="bottomRight" activeCell="E15" sqref="E15"/>
      <selection pane="bottomLeft" activeCell="A6" sqref="A6"/>
      <selection pane="topRight" activeCell="B1" sqref="B1"/>
    </sheetView>
  </sheetViews>
  <sheetFormatPr baseColWidth="8" defaultColWidth="8.5703125" defaultRowHeight="14.45"/>
  <cols>
    <col width="3" customWidth="1" min="1" max="1"/>
    <col width="30" customWidth="1" min="2" max="2"/>
    <col width="22" customWidth="1" min="3" max="3"/>
    <col width="14.85546875" customWidth="1" min="4" max="6"/>
    <col width="45.5703125" customWidth="1" min="7" max="7"/>
  </cols>
  <sheetData>
    <row r="1" ht="30" customHeight="1">
      <c r="A1" s="152" t="inlineStr">
        <is>
          <t>📖  PANDUAN RANTAI PASOK PERIKANAN — Aktivitas yang Menggunakan Listrik per Ton Ikan</t>
        </is>
      </c>
    </row>
    <row r="2"/>
    <row r="3" ht="36" customHeight="1">
      <c r="B3" s="153" t="inlineStr">
        <is>
          <t>Tabel ini merangkum SEMUA aktivitas yang mengonsumsi listrik dalam rantai pasok ikan di desa perikanan, dari penangkapan hingga penjualan. Angka dalam kWh/ton ikan TERJUAL (bukan diproduksi). Gunakan sebagai referensi mengisi kalkulator di sheet berikutnya.</t>
        </is>
      </c>
    </row>
    <row r="4"/>
    <row r="5" ht="36" customHeight="1">
      <c r="B5" s="1" t="inlineStr">
        <is>
          <t>Fase</t>
        </is>
      </c>
      <c r="C5" s="1" t="inlineStr">
        <is>
          <t>Aktivitas</t>
        </is>
      </c>
      <c r="D5" s="1" t="inlineStr">
        <is>
          <t>Kisaran Rendah
(kWh/ton ikan)</t>
        </is>
      </c>
      <c r="E5" s="1" t="inlineStr">
        <is>
          <t>Nilai Tengah
(kWh/ton ikan)</t>
        </is>
      </c>
      <c r="F5" s="1" t="inlineStr">
        <is>
          <t>Kisaran Tinggi
(kWh/ton ikan)</t>
        </is>
      </c>
      <c r="G5" s="1" t="inlineStr">
        <is>
          <t>Sumber &amp; Catatan</t>
        </is>
      </c>
    </row>
    <row r="6" ht="18" customHeight="1">
      <c r="B6" s="150" t="inlineStr">
        <is>
          <t>FASE 1: PRA-PENANGKAPAN</t>
        </is>
      </c>
      <c r="C6" s="182" t="n"/>
      <c r="D6" s="182" t="n"/>
      <c r="E6" s="182" t="n"/>
      <c r="F6" s="182" t="n"/>
      <c r="G6" s="182" t="n"/>
    </row>
    <row r="7" ht="42" customHeight="1">
      <c r="B7" s="2" t="inlineStr">
        <is>
          <t>AP1</t>
        </is>
      </c>
      <c r="C7" s="3" t="inlineStr">
        <is>
          <t>Pengisian daya baterai perahu listrik
(Electric boat charging)</t>
        </is>
      </c>
      <c r="D7" s="4" t="n">
        <v>80</v>
      </c>
      <c r="E7" s="5">
        <f>AVERAGE(D7,F7)</f>
        <v/>
      </c>
      <c r="F7" s="4" t="n">
        <v>200</v>
      </c>
      <c r="G7" s="6" t="inlineStr">
        <is>
          <t>Basis: motor 3–5 kW × 6 jam/trip ÷ 150 kg tangkapan/trip. Sumber: SEAFDEC (2022) 'Electric Fishing Boats in SE Asia'; FAO (2023) 'Decarbonising Small-Scale Fisheries'. Catatan: variasi tinggi tergantung efisiensi motor &amp; jarak melaut.</t>
        </is>
      </c>
    </row>
    <row r="8" ht="42" customHeight="1">
      <c r="B8" s="2" t="inlineStr">
        <is>
          <t>AP2 (opt.)</t>
        </is>
      </c>
      <c r="C8" s="3" t="inlineStr">
        <is>
          <t>Lampu pancing / fish attractor LED
(Lampu LED untuk atraktor ikan)</t>
        </is>
      </c>
      <c r="D8" s="4" t="n">
        <v>10</v>
      </c>
      <c r="E8" s="5">
        <f>AVERAGE(D8,F8)</f>
        <v/>
      </c>
      <c r="F8" s="4" t="n">
        <v>30</v>
      </c>
      <c r="G8" s="6" t="inlineStr">
        <is>
          <t>Basis: 2×50W LED × 6 jam/trip ÷ 150 kg tangkapan. Sumber: SEAFDEC (2019) 'LED Fishing Lights'; WorldFish (2021). Catatan: tidak semua perahu menggunakan lampu pancing.</t>
        </is>
      </c>
    </row>
    <row r="9" ht="42" customHeight="1">
      <c r="B9" s="2" t="inlineStr">
        <is>
          <t>AP3 (opt.)</t>
        </is>
      </c>
      <c r="C9" s="3" t="inlineStr">
        <is>
          <t>Peralatan navigasi &amp; fish finder
(Sonar / GPS / echosounder)</t>
        </is>
      </c>
      <c r="D9" s="4" t="n">
        <v>3</v>
      </c>
      <c r="E9" s="5">
        <f>AVERAGE(D9,F9)</f>
        <v/>
      </c>
      <c r="F9" s="4" t="n">
        <v>12</v>
      </c>
      <c r="G9" s="6" t="inlineStr">
        <is>
          <t>Basis: 50–100W perangkat × 6 jam/trip ÷ 150 kg. Sumber: FAO (2020) 'Fishing Vessel Equipment Energy Use'. Catatan: umumnya kecil; relevan untuk kapal &gt;5 GT.</t>
        </is>
      </c>
    </row>
    <row r="10" ht="18" customHeight="1">
      <c r="B10" s="150" t="inlineStr">
        <is>
          <t>FASE 2: PENDARATAN &amp; PELELANGAN (TPI)</t>
        </is>
      </c>
      <c r="C10" s="182" t="n"/>
      <c r="D10" s="182" t="n"/>
      <c r="E10" s="182" t="n"/>
      <c r="F10" s="182" t="n"/>
      <c r="G10" s="182" t="n"/>
    </row>
    <row r="11" ht="42" customHeight="1">
      <c r="B11" s="2" t="inlineStr">
        <is>
          <t>AP4</t>
        </is>
      </c>
      <c r="C11" s="3" t="inlineStr">
        <is>
          <t>Penerangan dermaga &amp; TPI
(Lighting at landing site &amp; fish auction)</t>
        </is>
      </c>
      <c r="D11" s="4" t="n">
        <v>5</v>
      </c>
      <c r="E11" s="5">
        <f>AVERAGE(D11,F11)</f>
        <v/>
      </c>
      <c r="F11" s="4" t="n">
        <v>15</v>
      </c>
      <c r="G11" s="6" t="inlineStr">
        <is>
          <t>Basis: overhead listrik TPI 50 kWh/hari ÷ 6 ton throughput/hari. Sumber: KKP RI (2021) 'Standar Operasional TPI'; FAO (2014) 'Infrastructure for Small-Scale Fisheries'. Catatan: amortisasi per ton tergantung volume TPI.</t>
        </is>
      </c>
    </row>
    <row r="12" ht="42" customHeight="1">
      <c r="B12" s="2" t="inlineStr">
        <is>
          <t>AP5</t>
        </is>
      </c>
      <c r="C12" s="3" t="inlineStr">
        <is>
          <t>Timbangan &amp; conveyor sortir
(Weighing &amp; sorting equipment)</t>
        </is>
      </c>
      <c r="D12" s="4" t="n">
        <v>2</v>
      </c>
      <c r="E12" s="5">
        <f>AVERAGE(D12,F12)</f>
        <v/>
      </c>
      <c r="F12" s="4" t="n">
        <v>8</v>
      </c>
      <c r="G12" s="6" t="inlineStr">
        <is>
          <t>Basis: ~0.5 kWh per ton untuk operasi timbang-sortir mekanis. Sumber: FAO Fisheries Technical Paper No. 506 (2007). Catatan: jika masih manual, bisa 0; angka ini untuk sistem mekanis.</t>
        </is>
      </c>
    </row>
    <row r="13" ht="18" customHeight="1">
      <c r="B13" s="150" t="inlineStr">
        <is>
          <t>FASE 3: PENANGANAN &amp; PENDINGINAN</t>
        </is>
      </c>
      <c r="C13" s="182" t="n"/>
      <c r="D13" s="182" t="n"/>
      <c r="E13" s="182" t="n"/>
      <c r="F13" s="182" t="n"/>
      <c r="G13" s="182" t="n"/>
    </row>
    <row r="14" ht="42" customHeight="1">
      <c r="B14" s="2" t="inlineStr">
        <is>
          <t>AP6</t>
        </is>
      </c>
      <c r="C14" s="3" t="inlineStr">
        <is>
          <t>Mesin pembuat es
(Ice making machine)</t>
        </is>
      </c>
      <c r="D14" s="4" t="n">
        <v>90</v>
      </c>
      <c r="E14" s="5">
        <f>AVERAGE(D14,F14)</f>
        <v/>
      </c>
      <c r="F14" s="4" t="n">
        <v>110</v>
      </c>
      <c r="G14" s="6" t="inlineStr">
        <is>
          <t>Basis: 100 kWh/ton es × rasio 1:1 es:ikan. Sumber: FAO (2005) 'Ice in Fisheries' (FAO Fisheries Technical Paper 331); ASHRAE Refrigeration Handbook (2018). Catatan: standar industri ~90–110 kWh per ton es produksi.</t>
        </is>
      </c>
    </row>
    <row r="15" ht="42" customHeight="1">
      <c r="B15" s="2" t="inlineStr">
        <is>
          <t>AP7</t>
        </is>
      </c>
      <c r="C15" s="3" t="inlineStr">
        <is>
          <t>Cold storage / penyimpanan dingin
(Chilled storage –18 °C)</t>
        </is>
      </c>
      <c r="D15" s="127">
        <f>25</f>
        <v/>
      </c>
      <c r="E15" s="5">
        <f>AVERAGE(D15,F15)*2.5</f>
        <v/>
      </c>
      <c r="F15" s="127">
        <f>65</f>
        <v/>
      </c>
      <c r="G15" s="6" t="inlineStr">
        <is>
          <t>Basis: 5 kWh/ton/hari × rata-rata 5–8 hari penyimpanan per ton ikan. Sumber: FAO (2005) 'Ice in Fisheries'; IIR (Int'l Institute of Refrigeration) 'Refrigerated Storage of Perishables' (2016). Catatan: jika frozen storage (−18°C), kalikan 2–2.5×.</t>
        </is>
      </c>
    </row>
    <row r="16" ht="42" customHeight="1">
      <c r="B16" s="2" t="inlineStr">
        <is>
          <t>AP8 (opt.)</t>
        </is>
      </c>
      <c r="C16" s="3" t="inlineStr">
        <is>
          <t>Blast freezing / pembekuan cepat
(Blast freezer, −35 °C)</t>
        </is>
      </c>
      <c r="D16" s="4" t="n">
        <v>120</v>
      </c>
      <c r="E16" s="5">
        <f>AVERAGE(D16,F16)</f>
        <v/>
      </c>
      <c r="F16" s="4" t="n">
        <v>240</v>
      </c>
      <c r="G16" s="6" t="inlineStr">
        <is>
          <t>Basis: 15–20 kWh/ton/hari × 8–12 hari (frozen). Sumber: IIR (2016); ASHRAE (2018). Catatan: hanya relevan jika KDKMP menjual ikan beku (frozen fish), bukan segar.</t>
        </is>
      </c>
    </row>
    <row r="17" ht="18" customHeight="1">
      <c r="B17" s="150" t="inlineStr">
        <is>
          <t>FASE 4: PENGOLAHAN IKAN (OPSIONAL — jika ada nilai tambah)</t>
        </is>
      </c>
      <c r="C17" s="182" t="n"/>
      <c r="D17" s="182" t="n"/>
      <c r="E17" s="182" t="n"/>
      <c r="F17" s="182" t="n"/>
      <c r="G17" s="182" t="n"/>
    </row>
    <row r="18" ht="42" customHeight="1">
      <c r="B18" s="2" t="inlineStr">
        <is>
          <t>AP9 (opt.)</t>
        </is>
      </c>
      <c r="C18" s="3" t="inlineStr">
        <is>
          <t>Mesin fillet &amp; pemotong
(Electric filleting &amp; cutting machine)</t>
        </is>
      </c>
      <c r="D18" s="4" t="n">
        <v>8</v>
      </c>
      <c r="E18" s="5">
        <f>AVERAGE(D18,F18)</f>
        <v/>
      </c>
      <c r="F18" s="4" t="n">
        <v>25</v>
      </c>
      <c r="G18" s="6" t="inlineStr">
        <is>
          <t>Basis: mesin fillet 2–3 kW × 2 jam/ton ikan diproses. Sumber: FAO (2014) 'Fish Processing Technology'; WorldFish (2021) 'Small-Scale Fish Processing'. Catatan: hanya jika ikan dijual dalam bentuk fillet, bukan utuh.</t>
        </is>
      </c>
    </row>
    <row r="19" ht="42" customHeight="1">
      <c r="B19" s="2" t="inlineStr">
        <is>
          <t>AP10 (opt.)</t>
        </is>
      </c>
      <c r="C19" s="3" t="inlineStr">
        <is>
          <t>Mesin pengering ikan elektrik
(Electric fish dryer / heat pump dryer)</t>
        </is>
      </c>
      <c r="D19" s="4" t="n">
        <v>300</v>
      </c>
      <c r="E19" s="5">
        <f>AVERAGE(D19,F19)</f>
        <v/>
      </c>
      <c r="F19" s="4" t="n">
        <v>800</v>
      </c>
      <c r="G19" s="6" t="inlineStr">
        <is>
          <t>Basis: 400–800 kWh/ton ikan segar untuk menghasilkan ikan kering (kandungan air turun ~70%). Sumber: FAO (2013) 'Solar Drying vs Electric Drying'; UNIDO (2019) 'Energy Efficiency in Fish Processing'. PERINGATAN: nilai sangat tinggi — hanya masukkan jika produk utama adalah ikan kering.</t>
        </is>
      </c>
    </row>
    <row r="20" ht="42" customHeight="1">
      <c r="B20" s="2" t="inlineStr">
        <is>
          <t>AP11 (opt.)</t>
        </is>
      </c>
      <c r="C20" s="3" t="inlineStr">
        <is>
          <t>Mesin pengalengan / vakum
(Canning / vacuum packing machine)</t>
        </is>
      </c>
      <c r="D20" s="4" t="n">
        <v>20</v>
      </c>
      <c r="E20" s="5">
        <f>AVERAGE(D20,F20)</f>
        <v/>
      </c>
      <c r="F20" s="4" t="n">
        <v>55</v>
      </c>
      <c r="G20" s="6" t="inlineStr">
        <is>
          <t>Basis: 30–50 kWh/ton untuk operasi vakum dan sealing. Sumber: FAO (2014); UNIDO (2019). Catatan: relevan untuk KDKMP yang menjual produk olahan/kemasan.</t>
        </is>
      </c>
    </row>
    <row r="21" ht="18" customHeight="1">
      <c r="B21" s="150" t="inlineStr">
        <is>
          <t>FASE 5: AIR BERSIH, SANITASI &amp; FASILITAS PENDUKUNG</t>
        </is>
      </c>
      <c r="C21" s="182" t="n"/>
      <c r="D21" s="182" t="n"/>
      <c r="E21" s="182" t="n"/>
      <c r="F21" s="182" t="n"/>
      <c r="G21" s="182" t="n"/>
    </row>
    <row r="22" ht="42" customHeight="1">
      <c r="B22" s="2" t="inlineStr">
        <is>
          <t>AP12</t>
        </is>
      </c>
      <c r="C22" s="3" t="inlineStr">
        <is>
          <t>Pompa air bersih
(Water pump for cleaning &amp; processing)</t>
        </is>
      </c>
      <c r="D22" s="4" t="n">
        <v>2</v>
      </c>
      <c r="E22" s="5">
        <f>AVERAGE(D22,F22)</f>
        <v/>
      </c>
      <c r="F22" s="4" t="n">
        <v>7</v>
      </c>
      <c r="G22" s="6" t="inlineStr">
        <is>
          <t>Basis: 3 m³ air per ton ikan × 0.5–1 kWh/m³ untuk pompa. Sumber: FAO (2007) 'Water Use in Fish Processing'; Generic pump energy calculation (0.5 kWh/m³ for centrifugal pump at 20m head).</t>
        </is>
      </c>
    </row>
    <row r="23" ht="42" customHeight="1">
      <c r="B23" s="2" t="inlineStr">
        <is>
          <t>AP13</t>
        </is>
      </c>
      <c r="C23" s="3" t="inlineStr">
        <is>
          <t>Sistem air laut / aerasi kolam
(Seawater pump / aeration for live fish)</t>
        </is>
      </c>
      <c r="D23" s="4" t="n">
        <v>10</v>
      </c>
      <c r="E23" s="5">
        <f>AVERAGE(D23,F23)</f>
        <v/>
      </c>
      <c r="F23" s="4" t="n">
        <v>35</v>
      </c>
      <c r="G23" s="6" t="inlineStr">
        <is>
          <t>Basis: aerator 0.5–1 kW × 8–16 jam/hari untuk kolam penampungan ikan hidup. Sumber: FAO (2012) 'Live Fish Handling'; WorldFish (2020). Catatan: hanya jika KDKMP menjual ikan hidup atau memiliki kolam penampungan.</t>
        </is>
      </c>
    </row>
    <row r="24" ht="42" customHeight="1">
      <c r="B24" s="2" t="inlineStr">
        <is>
          <t>AP14</t>
        </is>
      </c>
      <c r="C24" s="3" t="inlineStr">
        <is>
          <t>Penerangan fasilitas pengolahan
(Processing facility lighting)</t>
        </is>
      </c>
      <c r="D24" s="4" t="n">
        <v>3</v>
      </c>
      <c r="E24" s="5">
        <f>AVERAGE(D24,F24)</f>
        <v/>
      </c>
      <c r="F24" s="4" t="n">
        <v>10</v>
      </c>
      <c r="G24" s="6" t="inlineStr">
        <is>
          <t>Basis: overhead penerangan 30 kWh/hari ÷ 6 ton throughput/hari. Sumber: SNI 03-6197-2011 (Standar Pencahayaan Kerja Indonesia); IEA (2020) 'Energy Efficiency in Food Processing'.</t>
        </is>
      </c>
    </row>
    <row r="25" ht="18" customHeight="1">
      <c r="B25" s="150" t="inlineStr">
        <is>
          <t>FASE 6: DISTRIBUSI &amp; PENJUALAN</t>
        </is>
      </c>
      <c r="C25" s="182" t="n"/>
      <c r="D25" s="182" t="n"/>
      <c r="E25" s="182" t="n"/>
      <c r="F25" s="182" t="n"/>
      <c r="G25" s="182" t="n"/>
    </row>
    <row r="26" ht="42" customHeight="1">
      <c r="B26" s="2" t="inlineStr">
        <is>
          <t>AP15</t>
        </is>
      </c>
      <c r="C26" s="3" t="inlineStr">
        <is>
          <t>Kendaraan distribusi berpendingin
(Refrigerated electric delivery vehicle)</t>
        </is>
      </c>
      <c r="D26" s="4" t="n">
        <v>15</v>
      </c>
      <c r="E26" s="5">
        <f>AVERAGE(D26,F26)</f>
        <v/>
      </c>
      <c r="F26" s="4" t="n">
        <v>40</v>
      </c>
      <c r="G26" s="6" t="inlineStr">
        <is>
          <t>Basis: 0.3 kWh/km × 50–80 km/trip, per 1 ton muatan. Sumber: IEA (2022) 'Electric Vehicles for Last-Mile Delivery'; IRENA (2021) 'Electrification of Transport for Fisheries'. Catatan: hanya jika KDKMP menggunakan armada listrik sendiri.</t>
        </is>
      </c>
    </row>
    <row r="27" ht="42" customHeight="1">
      <c r="B27" s="2" t="inlineStr">
        <is>
          <t>AP16 (opt.)</t>
        </is>
      </c>
      <c r="C27" s="3" t="inlineStr">
        <is>
          <t>Display chiller di kios/pasar
(Retail display chiller)</t>
        </is>
      </c>
      <c r="D27" s="4" t="n">
        <v>8</v>
      </c>
      <c r="E27" s="5">
        <f>AVERAGE(D27,F27)</f>
        <v/>
      </c>
      <c r="F27" s="4" t="n">
        <v>22</v>
      </c>
      <c r="G27" s="6" t="inlineStr">
        <is>
          <t>Basis: chiller display 200W × 8 jam/hari per ~500 kg ikan/minggu. Sumber: ASHRAE (2018) Commercial Refrigeration; Catatan: relevan jika KDKMP memiliki kios penjualan sendiri.</t>
        </is>
      </c>
    </row>
    <row r="28"/>
    <row r="29" ht="39.75" customHeight="1">
      <c r="B29" s="151" t="inlineStr">
        <is>
          <t>📌  PENTING: Untuk desa perikanan yang menjual IKAN SEGAR, aktivitas wajib adalah AP1 + AP6 + AP7 + AP12 + AP4. Aktivitas opsional ditambahkan sesuai profil nilai tambah desa. Gunakan nilai tengah (mid) sebagai baseline, lalu sensitivitas dengan low/high.</t>
        </is>
      </c>
    </row>
  </sheetData>
  <mergeCells count="9">
    <mergeCell ref="B3:G3"/>
    <mergeCell ref="B10:G10"/>
    <mergeCell ref="A1:G1"/>
    <mergeCell ref="B17:G17"/>
    <mergeCell ref="B13:G13"/>
    <mergeCell ref="B21:G21"/>
    <mergeCell ref="B29:G29"/>
    <mergeCell ref="B25:G25"/>
    <mergeCell ref="B6:G6"/>
  </mergeCell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H65"/>
  <sheetViews>
    <sheetView showGridLines="0" zoomScale="80" zoomScaleNormal="80" workbookViewId="0">
      <selection activeCell="D65" sqref="D65"/>
    </sheetView>
  </sheetViews>
  <sheetFormatPr baseColWidth="8" defaultColWidth="8.5703125" defaultRowHeight="14.45"/>
  <cols>
    <col width="3" customWidth="1" min="1" max="1"/>
    <col width="38" customWidth="1" min="2" max="2"/>
    <col width="18" customWidth="1" min="3" max="4"/>
    <col width="16" customWidth="1" min="5" max="5"/>
    <col width="10" customWidth="1" min="6" max="6"/>
    <col width="42" customWidth="1" min="7" max="7"/>
  </cols>
  <sheetData>
    <row r="1" ht="30" customHeight="1">
      <c r="A1" s="156" t="inlineStr">
        <is>
          <t>🐟  KALKULATOR KEBUTUHAN LISTRIK — Desa Perikanan KDKMP</t>
        </is>
      </c>
      <c r="B1" s="183" t="n"/>
      <c r="C1" s="183" t="n"/>
      <c r="D1" s="183" t="n"/>
      <c r="E1" s="183" t="n"/>
      <c r="F1" s="183" t="n"/>
      <c r="G1" s="183" t="n"/>
    </row>
    <row r="2" ht="18" customHeight="1">
      <c r="B2" s="157" t="inlineStr">
        <is>
          <t>🟨 Kuning (teks biru) = INPUT — isi / ubah sesuai data desa   |   🟩 Hijau = KALKULASI otomatis   |   Kolom F (Aktif): 1 = aktivitas ADA, 0 = tidak ada</t>
        </is>
      </c>
      <c r="C2" s="183" t="n"/>
      <c r="D2" s="183" t="n"/>
      <c r="E2" s="183" t="n"/>
      <c r="F2" s="183" t="n"/>
      <c r="G2" s="183" t="n"/>
    </row>
    <row r="3"/>
    <row r="4" ht="18" customHeight="1">
      <c r="B4" s="154" t="inlineStr">
        <is>
          <t>A.  PROFIL DESA  —  Isi sel kuning</t>
        </is>
      </c>
      <c r="C4" s="183" t="n"/>
      <c r="D4" s="183" t="n"/>
      <c r="E4" s="183" t="n"/>
      <c r="F4" s="183" t="n"/>
      <c r="G4" s="183" t="n"/>
    </row>
    <row r="5" ht="36" customHeight="1">
      <c r="B5" s="1" t="inlineStr">
        <is>
          <t>Parameter</t>
        </is>
      </c>
      <c r="C5" s="1" t="inlineStr">
        <is>
          <t>Input 🟨</t>
        </is>
      </c>
      <c r="D5" s="1" t="inlineStr">
        <is>
          <t>Kalkulasi 🟩</t>
        </is>
      </c>
      <c r="E5" s="1" t="inlineStr">
        <is>
          <t>Unit</t>
        </is>
      </c>
      <c r="F5" s="1" t="inlineStr">
        <is>
          <t>—</t>
        </is>
      </c>
      <c r="G5" s="1" t="inlineStr">
        <is>
          <t>Description</t>
        </is>
      </c>
    </row>
    <row r="6" ht="18" customHeight="1">
      <c r="B6" s="7" t="inlineStr">
        <is>
          <t>Jumlah rumah tangga (KK)</t>
        </is>
      </c>
      <c r="C6" s="116">
        <f>200</f>
        <v/>
      </c>
      <c r="D6" s="7" t="n"/>
      <c r="E6" s="8" t="inlineStr">
        <is>
          <t>KK</t>
        </is>
      </c>
      <c r="F6" s="7" t="n"/>
      <c r="G6" s="9" t="inlineStr">
        <is>
          <t>Jumlah kepala keluarga anggota koperasi</t>
        </is>
      </c>
      <c r="H6" s="132" t="inlineStr">
        <is>
          <t>studi kasus slide kemenkop 200 KK</t>
        </is>
      </c>
    </row>
    <row r="7" ht="18" customHeight="1">
      <c r="B7" s="7" t="inlineStr">
        <is>
          <t>Target konsumsi listrik harian per rumah tangga</t>
        </is>
      </c>
      <c r="C7" s="116" t="n">
        <v>3.4</v>
      </c>
      <c r="D7" s="7" t="n"/>
      <c r="E7" s="8" t="inlineStr">
        <is>
          <t>kWh/hari/KK</t>
        </is>
      </c>
      <c r="F7" s="7" t="n"/>
      <c r="G7" s="9" t="inlineStr">
        <is>
          <t>Minimal Tier 4 MTF ESMAP</t>
        </is>
      </c>
    </row>
    <row r="8" ht="18" customHeight="1">
      <c r="B8" s="7" t="inlineStr">
        <is>
          <t>Kebutuhan listrik tahunan per rumah tangga</t>
        </is>
      </c>
      <c r="C8" s="10">
        <f>C7*365</f>
        <v/>
      </c>
      <c r="D8" s="7" t="n"/>
      <c r="E8" s="8" t="inlineStr">
        <is>
          <t>kWh/tahun/KK</t>
        </is>
      </c>
      <c r="F8" s="7" t="n"/>
      <c r="G8" s="9" t="inlineStr">
        <is>
          <t>← KALKULASI: target konsumsi listrik per hari * 365 hari</t>
        </is>
      </c>
    </row>
    <row r="9" ht="18" customHeight="1">
      <c r="B9" s="7" t="inlineStr">
        <is>
          <t>Tipe komoditas</t>
        </is>
      </c>
      <c r="C9" s="11" t="inlineStr">
        <is>
          <t>Fish</t>
        </is>
      </c>
      <c r="D9" s="7" t="n"/>
      <c r="E9" s="8" t="inlineStr">
        <is>
          <t>—</t>
        </is>
      </c>
      <c r="F9" s="7" t="n"/>
      <c r="G9" s="9" t="inlineStr">
        <is>
          <t>Komoditas utama yang dijual</t>
        </is>
      </c>
    </row>
    <row r="10" ht="18" customHeight="1">
      <c r="B10" s="7" t="inlineStr">
        <is>
          <t>Unit komoditas</t>
        </is>
      </c>
      <c r="C10" s="11" t="inlineStr">
        <is>
          <t>ton</t>
        </is>
      </c>
      <c r="D10" s="7" t="n"/>
      <c r="E10" s="8" t="inlineStr">
        <is>
          <t>—</t>
        </is>
      </c>
      <c r="F10" s="7" t="n"/>
      <c r="G10" s="9" t="inlineStr">
        <is>
          <t>Satuan komoditas</t>
        </is>
      </c>
    </row>
    <row r="11" ht="18" customHeight="1">
      <c r="B11" s="7" t="inlineStr">
        <is>
          <t>Total target profit bersih tahunan dari ikan</t>
        </is>
      </c>
      <c r="C11" s="116">
        <f>1660/2</f>
        <v/>
      </c>
      <c r="D11" s="7" t="n"/>
      <c r="E11" s="8" t="inlineStr">
        <is>
          <t>juta Rp/thn</t>
        </is>
      </c>
      <c r="F11" s="7" t="n"/>
      <c r="G11" s="9" t="inlineStr">
        <is>
          <t>Slide kemenkop, jual ikan 1.66 miliar pendapatan, asumsi profit margin 50%, idealnya dipasang sesuai potensi pasar</t>
        </is>
      </c>
    </row>
    <row r="12" ht="18" customHeight="1">
      <c r="B12" s="7" t="inlineStr">
        <is>
          <t>Profit bersih per ton ikan</t>
        </is>
      </c>
      <c r="C12" s="116" t="n">
        <v>7.5</v>
      </c>
      <c r="D12" s="7" t="n"/>
      <c r="E12" s="8" t="inlineStr">
        <is>
          <t>juta Rp/ton</t>
        </is>
      </c>
      <c r="F12" s="7" t="n"/>
      <c r="G12" s="9" t="inlineStr">
        <is>
          <t>Margin bersih per ton ikan terjual</t>
        </is>
      </c>
    </row>
    <row r="13" ht="18" customHeight="1">
      <c r="B13" s="7" t="inlineStr">
        <is>
          <t>Target produksi ikan (ton/tahun)</t>
        </is>
      </c>
      <c r="C13" s="10">
        <f>C11/C12</f>
        <v/>
      </c>
      <c r="D13" s="7" t="n"/>
      <c r="E13" s="8" t="inlineStr">
        <is>
          <t>ton/thn</t>
        </is>
      </c>
      <c r="F13" s="7" t="n"/>
      <c r="G13" s="9" t="inlineStr">
        <is>
          <t>← KALKULASI: target pendapatan ÷ profit/ton</t>
        </is>
      </c>
    </row>
    <row r="14" ht="18" customHeight="1">
      <c r="B14" s="7" t="inlineStr">
        <is>
          <t>Tipe komoditas 2</t>
        </is>
      </c>
      <c r="C14" s="11" t="inlineStr">
        <is>
          <t>Ice</t>
        </is>
      </c>
      <c r="D14" s="7" t="n"/>
      <c r="E14" s="8" t="inlineStr">
        <is>
          <t>—</t>
        </is>
      </c>
      <c r="F14" s="7" t="n"/>
      <c r="G14" s="9" t="inlineStr">
        <is>
          <t>Komoditas sampingan yang dijual</t>
        </is>
      </c>
    </row>
    <row r="15" ht="18" customHeight="1">
      <c r="B15" s="7" t="inlineStr">
        <is>
          <t>Unit komoditas 2</t>
        </is>
      </c>
      <c r="C15" s="11" t="inlineStr">
        <is>
          <t>ton</t>
        </is>
      </c>
      <c r="D15" s="7" t="n"/>
      <c r="E15" s="8" t="inlineStr">
        <is>
          <t>—</t>
        </is>
      </c>
      <c r="F15" s="7" t="n"/>
      <c r="G15" s="9" t="inlineStr">
        <is>
          <t>Satuan komoditas</t>
        </is>
      </c>
    </row>
    <row r="16" ht="18" customHeight="1">
      <c r="B16" s="7" t="inlineStr">
        <is>
          <t>Total target profit bersih tahunan dari es</t>
        </is>
      </c>
      <c r="C16" s="116">
        <f>2190/2</f>
        <v/>
      </c>
      <c r="D16" s="7" t="n"/>
      <c r="E16" s="8" t="inlineStr">
        <is>
          <t>juta Rp/thn</t>
        </is>
      </c>
      <c r="F16" s="7" t="n"/>
      <c r="G16" s="9" t="inlineStr">
        <is>
          <t>Slide kemenkop, jual es 2.19 miliar pendapatan, asumsi profit margin 50%, idealnya dipasang sesuai potensi pasar</t>
        </is>
      </c>
      <c r="H16" s="132" t="inlineStr">
        <is>
          <t>harus diganti manual kalau target profit ikan membuat kebutuhan es untuk ikan jadi tinggi</t>
        </is>
      </c>
    </row>
    <row r="17" ht="18" customHeight="1">
      <c r="B17" s="7" t="inlineStr">
        <is>
          <t>Profit bersih per ton komoditas es</t>
        </is>
      </c>
      <c r="C17" s="12" t="n">
        <v>0.5</v>
      </c>
      <c r="D17" s="7" t="n"/>
      <c r="E17" s="8" t="inlineStr">
        <is>
          <t>juta Rp/ton</t>
        </is>
      </c>
      <c r="F17" s="7" t="n"/>
      <c r="G17" s="9" t="inlineStr">
        <is>
          <t>Margin bersih per ton es terjual</t>
        </is>
      </c>
    </row>
    <row r="18" ht="18" customHeight="1">
      <c r="B18" s="7" t="inlineStr">
        <is>
          <t>Target produksi es (ton/tahun)</t>
        </is>
      </c>
      <c r="C18" s="10">
        <f>C16/C17</f>
        <v/>
      </c>
      <c r="D18" s="7" t="n"/>
      <c r="E18" s="8" t="inlineStr">
        <is>
          <t>ton/thn</t>
        </is>
      </c>
      <c r="F18" s="7" t="n"/>
      <c r="G18" s="9" t="inlineStr">
        <is>
          <t>← KALKULASI: target pendapatan ÷ profit/ton</t>
        </is>
      </c>
    </row>
    <row r="19" ht="18" customHeight="1">
      <c r="B19" s="7" t="inlineStr">
        <is>
          <t>Target produksi es (ton/hari)</t>
        </is>
      </c>
      <c r="C19" s="10">
        <f>C18/365</f>
        <v/>
      </c>
      <c r="D19" s="7" t="n"/>
      <c r="E19" s="8" t="inlineStr">
        <is>
          <t>ton/hari</t>
        </is>
      </c>
      <c r="F19" s="7" t="n"/>
      <c r="G19" s="9" t="inlineStr">
        <is>
          <t>crosscheck dengan slide kemenkop ice maker 4 ton/hari</t>
        </is>
      </c>
    </row>
    <row r="20" ht="18" customHeight="1">
      <c r="B20" s="7" t="inlineStr">
        <is>
          <t>Kebutuhan es per tahun untuk ikan</t>
        </is>
      </c>
      <c r="C20" s="10">
        <f>C13*(1/1)</f>
        <v/>
      </c>
      <c r="D20" s="7" t="n"/>
      <c r="E20" s="8" t="inlineStr">
        <is>
          <t>ton/thn</t>
        </is>
      </c>
      <c r="F20" s="7" t="n"/>
      <c r="G20" s="9" t="inlineStr">
        <is>
          <t>asumsi kebutuhan ton es:ikan = 1:1</t>
        </is>
      </c>
    </row>
    <row r="21" ht="18" customHeight="1">
      <c r="B21" s="7" t="inlineStr">
        <is>
          <t>Kebutuhan es per tahun non ikan (dijual)</t>
        </is>
      </c>
      <c r="C21" s="10">
        <f>C18-C20</f>
        <v/>
      </c>
      <c r="D21" s="7" t="n"/>
      <c r="E21" s="8" t="inlineStr">
        <is>
          <t>ton/thn</t>
        </is>
      </c>
      <c r="F21" s="7" t="n"/>
      <c r="G21" s="9" t="inlineStr">
        <is>
          <t>target produksi es/tahun - kebutuhan es untuk ikan</t>
        </is>
      </c>
    </row>
    <row r="22" ht="18" customHeight="1">
      <c r="B22" s="7" t="inlineStr">
        <is>
          <t>Profit bersih tahunan dari jual es ke anggota</t>
        </is>
      </c>
      <c r="C22" s="10">
        <f>C20*C17</f>
        <v/>
      </c>
      <c r="D22" s="7" t="n"/>
      <c r="E22" s="8" t="inlineStr">
        <is>
          <t>juta Rp/thn</t>
        </is>
      </c>
      <c r="F22" s="7" t="n"/>
      <c r="G22" s="9" t="inlineStr">
        <is>
          <t>kebutuhan es/tahun untuk anggota * profit es</t>
        </is>
      </c>
    </row>
    <row r="23" ht="18" customHeight="1">
      <c r="B23" s="7" t="inlineStr">
        <is>
          <t>Profit bersih tahunan dari jual es ke luar</t>
        </is>
      </c>
      <c r="C23" s="10">
        <f>C17*C21</f>
        <v/>
      </c>
      <c r="D23" s="7" t="n"/>
      <c r="E23" s="8" t="inlineStr">
        <is>
          <t>juta Rp/thn</t>
        </is>
      </c>
      <c r="F23" s="7" t="n"/>
      <c r="G23" s="9" t="inlineStr">
        <is>
          <t>kebutuhan es/tahun untuk jual ke luar * profit es</t>
        </is>
      </c>
    </row>
    <row r="24" ht="15" customHeight="1" thickBot="1"/>
    <row r="25" ht="18" customHeight="1">
      <c r="B25" s="154" t="inlineStr">
        <is>
          <t>B.  AKTIVITAS RANTAI PASOK  —  kWh/ton: isi sesuai profil desa (lihat sheet 📖 untuk referensi)</t>
        </is>
      </c>
      <c r="C25" s="183" t="n"/>
      <c r="D25" s="183" t="n"/>
      <c r="E25" s="183" t="n"/>
      <c r="F25" s="183" t="n"/>
      <c r="G25" s="183" t="n"/>
    </row>
    <row r="26" ht="36" customHeight="1">
      <c r="B26" s="1" t="inlineStr">
        <is>
          <t>ID Aktivitas</t>
        </is>
      </c>
      <c r="C26" s="1" t="inlineStr">
        <is>
          <t>Nama Aktivitas</t>
        </is>
      </c>
      <c r="D26" s="1" t="inlineStr">
        <is>
          <t>kWh / ton ikan 🟨
(input)</t>
        </is>
      </c>
      <c r="E26" s="1" t="inlineStr">
        <is>
          <t>kWh / tahun 🟩
(kalkulasi)</t>
        </is>
      </c>
      <c r="F26" s="1" t="inlineStr">
        <is>
          <t>Aktif? 🟨
1=Ya / 0=Tdk</t>
        </is>
      </c>
      <c r="G26" s="1" t="inlineStr">
        <is>
          <t>Sumber Referensi</t>
        </is>
      </c>
    </row>
    <row r="27" ht="22.5" customHeight="1">
      <c r="B27" s="155" t="inlineStr">
        <is>
          <t>── FASE 1: PRA-PENANGKAPAN</t>
        </is>
      </c>
      <c r="C27" s="182" t="n"/>
      <c r="D27" s="182" t="n"/>
      <c r="E27" s="182" t="n"/>
      <c r="F27" s="182" t="n"/>
      <c r="G27" s="182" t="n"/>
    </row>
    <row r="28" ht="22.5" customHeight="1">
      <c r="B28" s="129" t="inlineStr">
        <is>
          <t>AP1</t>
        </is>
      </c>
      <c r="C28" s="13" t="inlineStr">
        <is>
          <t>Pengisian daya baterai perahu listrik</t>
        </is>
      </c>
      <c r="D28" s="125">
        <f>'📖 Asumsi Rantai Pasok'!E7</f>
        <v/>
      </c>
      <c r="E28" s="14">
        <f>D28*C13*F28</f>
        <v/>
      </c>
      <c r="F28" s="15" t="n">
        <v>1</v>
      </c>
      <c r="G28" s="6" t="inlineStr">
        <is>
          <t>SEAFDEC (2022); FAO (2023) — kisaran 80–200 kWh/ton</t>
        </is>
      </c>
    </row>
    <row r="29" ht="22.5" customHeight="1">
      <c r="B29" s="16" t="inlineStr">
        <is>
          <t>AP2</t>
        </is>
      </c>
      <c r="C29" s="13" t="inlineStr">
        <is>
          <t>Lampu LED pancing / fish attractor (opsional)</t>
        </is>
      </c>
      <c r="D29" s="125">
        <f>'📖 Asumsi Rantai Pasok'!E8</f>
        <v/>
      </c>
      <c r="E29" s="14">
        <f>D29*C13*F29</f>
        <v/>
      </c>
      <c r="F29" s="15" t="n">
        <v>1</v>
      </c>
      <c r="G29" s="6" t="inlineStr">
        <is>
          <t>SEAFDEC (2019); WorldFish (2021) — kisaran 10–30 kWh/ton</t>
        </is>
      </c>
    </row>
    <row r="30" ht="22.5" customHeight="1">
      <c r="B30" s="16" t="inlineStr">
        <is>
          <t>AP3</t>
        </is>
      </c>
      <c r="C30" s="13" t="inlineStr">
        <is>
          <t>Navigasi &amp; fish finder (opsional)</t>
        </is>
      </c>
      <c r="D30" s="125">
        <f>'📖 Asumsi Rantai Pasok'!E9</f>
        <v/>
      </c>
      <c r="E30" s="14">
        <f>D30*C13*F30</f>
        <v/>
      </c>
      <c r="F30" s="15" t="n">
        <v>0</v>
      </c>
      <c r="G30" s="6" t="inlineStr">
        <is>
          <t>FAO (2020) — kisaran 3–12 kWh/ton</t>
        </is>
      </c>
    </row>
    <row r="31" ht="22.5" customHeight="1">
      <c r="B31" s="155" t="inlineStr">
        <is>
          <t>── FASE 2: PENDARATAN &amp; PELELANGAN (TPI)</t>
        </is>
      </c>
      <c r="C31" s="182" t="n"/>
      <c r="D31" s="182" t="n"/>
      <c r="E31" s="182" t="n"/>
      <c r="F31" s="182" t="n"/>
      <c r="G31" s="182" t="n"/>
    </row>
    <row r="32" ht="22.5" customHeight="1">
      <c r="B32" s="129" t="inlineStr">
        <is>
          <t>AP4</t>
        </is>
      </c>
      <c r="C32" s="13" t="inlineStr">
        <is>
          <t>Penerangan dermaga &amp; TPI</t>
        </is>
      </c>
      <c r="D32" s="125">
        <f>'📖 Asumsi Rantai Pasok'!E11</f>
        <v/>
      </c>
      <c r="E32" s="14">
        <f>D32*C13*F32</f>
        <v/>
      </c>
      <c r="F32" s="15" t="n">
        <v>1</v>
      </c>
      <c r="G32" s="6" t="inlineStr">
        <is>
          <t>KKP RI (2021); FAO (2014) — kisaran 5–15 kWh/ton</t>
        </is>
      </c>
    </row>
    <row r="33" ht="22.5" customHeight="1">
      <c r="B33" s="129" t="inlineStr">
        <is>
          <t>AP5</t>
        </is>
      </c>
      <c r="C33" s="13" t="inlineStr">
        <is>
          <t>Timbangan &amp; conveyor sortir</t>
        </is>
      </c>
      <c r="D33" s="125">
        <f>'📖 Asumsi Rantai Pasok'!E12</f>
        <v/>
      </c>
      <c r="E33" s="14">
        <f>D33*C13*F33</f>
        <v/>
      </c>
      <c r="F33" s="15" t="n">
        <v>1</v>
      </c>
      <c r="G33" s="6" t="inlineStr">
        <is>
          <t>FAO Technical Paper 506 (2007) — kisaran 2–8 kWh/ton</t>
        </is>
      </c>
    </row>
    <row r="34" ht="22.5" customHeight="1">
      <c r="B34" s="155" t="inlineStr">
        <is>
          <t>── FASE 3: PENANGANAN &amp; PENDINGINAN</t>
        </is>
      </c>
      <c r="C34" s="182" t="n"/>
      <c r="D34" s="182" t="n"/>
      <c r="E34" s="182" t="n"/>
      <c r="F34" s="182" t="n"/>
      <c r="G34" s="182" t="n"/>
    </row>
    <row r="35" ht="22.5" customHeight="1">
      <c r="B35" s="129" t="inlineStr">
        <is>
          <t>AP6</t>
        </is>
      </c>
      <c r="C35" s="13" t="inlineStr">
        <is>
          <t>Mesin pembuat es</t>
        </is>
      </c>
      <c r="D35" s="125">
        <f>'📖 Asumsi Rantai Pasok'!E14</f>
        <v/>
      </c>
      <c r="E35" s="14">
        <f>D35*C13*F35</f>
        <v/>
      </c>
      <c r="F35" s="15" t="n">
        <v>1</v>
      </c>
      <c r="G35" s="6" t="inlineStr">
        <is>
          <t>FAO (2005) 'Ice in Fisheries'; ASHRAE (2018) — kisaran 80–140 kWh/ton</t>
        </is>
      </c>
    </row>
    <row r="36" ht="22.5" customHeight="1">
      <c r="B36" s="129" t="inlineStr">
        <is>
          <t>AP7</t>
        </is>
      </c>
      <c r="C36" s="13" t="inlineStr">
        <is>
          <t>Cold storage / penyimpanan dingin (–18°C)</t>
        </is>
      </c>
      <c r="D36" s="125">
        <f>'📖 Asumsi Rantai Pasok'!E15</f>
        <v/>
      </c>
      <c r="E36" s="14">
        <f>D36*C13*F36</f>
        <v/>
      </c>
      <c r="F36" s="15" t="n">
        <v>1</v>
      </c>
      <c r="G36" s="6" t="inlineStr">
        <is>
          <t>FAO (2005); IIR (2016) — kisaran 25–65 kWh/ton. Catatan: jika frozen storage (−18°C), kalikan 2–2.5×.</t>
        </is>
      </c>
    </row>
    <row r="37" ht="22.5" customHeight="1">
      <c r="B37" s="16" t="inlineStr">
        <is>
          <t>AP8</t>
        </is>
      </c>
      <c r="C37" s="13" t="inlineStr">
        <is>
          <t>Blast freezing −35°C (opsional — ikan beku)</t>
        </is>
      </c>
      <c r="D37" s="125">
        <f>'📖 Asumsi Rantai Pasok'!E16</f>
        <v/>
      </c>
      <c r="E37" s="14">
        <f>D37*C13*F37</f>
        <v/>
      </c>
      <c r="F37" s="15" t="n">
        <v>0</v>
      </c>
      <c r="G37" s="6" t="inlineStr">
        <is>
          <t>IIR (2016); ASHRAE (2018) — kisaran 120–240 kWh/ton</t>
        </is>
      </c>
    </row>
    <row r="38" ht="22.5" customHeight="1">
      <c r="B38" s="155" t="inlineStr">
        <is>
          <t>── FASE 4: PENGOLAHAN (OPSIONAL — nilai tambah)</t>
        </is>
      </c>
      <c r="C38" s="182" t="n"/>
      <c r="D38" s="182" t="n"/>
      <c r="E38" s="182" t="n"/>
      <c r="F38" s="182" t="n"/>
      <c r="G38" s="182" t="n"/>
    </row>
    <row r="39" ht="22.5" customHeight="1">
      <c r="B39" s="16" t="inlineStr">
        <is>
          <t>AP9</t>
        </is>
      </c>
      <c r="C39" s="13" t="inlineStr">
        <is>
          <t>Mesin fillet &amp; pemotong (opsional)</t>
        </is>
      </c>
      <c r="D39" s="125">
        <f>'📖 Asumsi Rantai Pasok'!E18</f>
        <v/>
      </c>
      <c r="E39" s="14">
        <f>D39*C13*F39</f>
        <v/>
      </c>
      <c r="F39" s="15" t="n">
        <v>0</v>
      </c>
      <c r="G39" s="6" t="inlineStr">
        <is>
          <t>FAO (2014); WorldFish (2021) — kisaran 8–25 kWh/ton</t>
        </is>
      </c>
    </row>
    <row r="40" ht="22.5" customHeight="1">
      <c r="B40" s="16" t="inlineStr">
        <is>
          <t>AP10</t>
        </is>
      </c>
      <c r="C40" s="13" t="inlineStr">
        <is>
          <t>Mesin pengering ikan elektrik (opsional)</t>
        </is>
      </c>
      <c r="D40" s="125">
        <f>'📖 Asumsi Rantai Pasok'!E19</f>
        <v/>
      </c>
      <c r="E40" s="14">
        <f>D40*C13*F40</f>
        <v/>
      </c>
      <c r="F40" s="15" t="n">
        <v>0</v>
      </c>
      <c r="G40" s="6" t="inlineStr">
        <is>
          <t>FAO (2013); UNIDO (2019) — kisaran 300–800 kWh/ton ⚠️ TINGGI</t>
        </is>
      </c>
    </row>
    <row r="41" ht="22.5" customHeight="1">
      <c r="B41" s="16" t="inlineStr">
        <is>
          <t>AP11</t>
        </is>
      </c>
      <c r="C41" s="13" t="inlineStr">
        <is>
          <t>Mesin pengalengan / vakum (opsional)</t>
        </is>
      </c>
      <c r="D41" s="125">
        <f>'📖 Asumsi Rantai Pasok'!E20</f>
        <v/>
      </c>
      <c r="E41" s="14">
        <f>D41*C13*F41</f>
        <v/>
      </c>
      <c r="F41" s="15" t="n">
        <v>0</v>
      </c>
      <c r="G41" s="6" t="inlineStr">
        <is>
          <t>FAO (2014); UNIDO (2019) — kisaran 20–55 kWh/ton</t>
        </is>
      </c>
    </row>
    <row r="42" ht="22.5" customHeight="1">
      <c r="B42" s="155" t="inlineStr">
        <is>
          <t>── FASE 5: AIR BERSIH &amp; FASILITAS PENDUKUNG</t>
        </is>
      </c>
      <c r="C42" s="182" t="n"/>
      <c r="D42" s="182" t="n"/>
      <c r="E42" s="182" t="n"/>
      <c r="F42" s="182" t="n"/>
      <c r="G42" s="182" t="n"/>
    </row>
    <row r="43" ht="22.5" customHeight="1">
      <c r="B43" s="129" t="inlineStr">
        <is>
          <t>AP12</t>
        </is>
      </c>
      <c r="C43" s="13" t="inlineStr">
        <is>
          <t>Pompa air bersih</t>
        </is>
      </c>
      <c r="D43" s="125">
        <f>'📖 Asumsi Rantai Pasok'!E22</f>
        <v/>
      </c>
      <c r="E43" s="14">
        <f>D43*C13*F43</f>
        <v/>
      </c>
      <c r="F43" s="15" t="n">
        <v>1</v>
      </c>
      <c r="G43" s="6" t="inlineStr">
        <is>
          <t>FAO (2007); generic pump calc — kisaran 2–7 kWh/ton</t>
        </is>
      </c>
    </row>
    <row r="44" ht="22.5" customHeight="1">
      <c r="B44" s="16" t="inlineStr">
        <is>
          <t>AP13</t>
        </is>
      </c>
      <c r="C44" s="13" t="inlineStr">
        <is>
          <t>Aerasi kolam ikan hidup (opsional)</t>
        </is>
      </c>
      <c r="D44" s="125">
        <f>'📖 Asumsi Rantai Pasok'!E23</f>
        <v/>
      </c>
      <c r="E44" s="14">
        <f>D44*C13*F44</f>
        <v/>
      </c>
      <c r="F44" s="15" t="n">
        <v>0</v>
      </c>
      <c r="G44" s="6" t="inlineStr">
        <is>
          <t>FAO (2012); WorldFish (2020) — kisaran 10–35 kWh/ton</t>
        </is>
      </c>
    </row>
    <row r="45" ht="22.5" customHeight="1">
      <c r="B45" s="129" t="inlineStr">
        <is>
          <t>AP14</t>
        </is>
      </c>
      <c r="C45" s="13" t="inlineStr">
        <is>
          <t>Penerangan fasilitas pengolahan</t>
        </is>
      </c>
      <c r="D45" s="125">
        <f>'📖 Asumsi Rantai Pasok'!E24</f>
        <v/>
      </c>
      <c r="E45" s="14">
        <f>D45*C13*F45</f>
        <v/>
      </c>
      <c r="F45" s="15" t="n">
        <v>1</v>
      </c>
      <c r="G45" s="6" t="inlineStr">
        <is>
          <t>SNI 03-6197-2011; IEA (2020) — kisaran 3–10 kWh/ton</t>
        </is>
      </c>
    </row>
    <row r="46" ht="22.5" customHeight="1">
      <c r="B46" s="155" t="inlineStr">
        <is>
          <t>── FASE 6: DISTRIBUSI &amp; PENJUALAN</t>
        </is>
      </c>
      <c r="C46" s="182" t="n"/>
      <c r="D46" s="182" t="n"/>
      <c r="E46" s="182" t="n"/>
      <c r="F46" s="182" t="n"/>
      <c r="G46" s="182" t="n"/>
    </row>
    <row r="47" ht="22.5" customHeight="1">
      <c r="B47" s="16" t="inlineStr">
        <is>
          <t>AP15</t>
        </is>
      </c>
      <c r="C47" s="13" t="inlineStr">
        <is>
          <t>Kendaraan distribusi berpendingin (opsional)</t>
        </is>
      </c>
      <c r="D47" s="125">
        <f>'📖 Asumsi Rantai Pasok'!D26</f>
        <v/>
      </c>
      <c r="E47" s="14">
        <f>D47*C13*F47</f>
        <v/>
      </c>
      <c r="F47" s="15" t="n">
        <v>0</v>
      </c>
      <c r="G47" s="6" t="inlineStr">
        <is>
          <t>IEA (2022); IRENA (2021) — kisaran 15–40 kWh/ton</t>
        </is>
      </c>
    </row>
    <row r="48" ht="22.5" customHeight="1">
      <c r="B48" s="16" t="inlineStr">
        <is>
          <t>AP16</t>
        </is>
      </c>
      <c r="C48" s="13" t="inlineStr">
        <is>
          <t>Display chiller di kios/pasar (opsional)</t>
        </is>
      </c>
      <c r="D48" s="125">
        <f>'📖 Asumsi Rantai Pasok'!D27</f>
        <v/>
      </c>
      <c r="E48" s="14">
        <f>D48*C13*F48</f>
        <v/>
      </c>
      <c r="F48" s="15" t="n">
        <v>0</v>
      </c>
      <c r="G48" s="6" t="inlineStr">
        <is>
          <t>ASHRAE (2018) Commercial Refrigeration — kisaran 8–22 kWh/ton</t>
        </is>
      </c>
    </row>
    <row r="49">
      <c r="E49" s="114" t="n"/>
    </row>
    <row r="50" ht="18" customHeight="1">
      <c r="B50" s="154" t="inlineStr">
        <is>
          <t>C.  RINGKASAN KEBUTUHAN LISTRIK TAHUNAN</t>
        </is>
      </c>
      <c r="C50" s="183" t="n"/>
      <c r="D50" s="183" t="n"/>
      <c r="E50" s="183" t="n"/>
      <c r="F50" s="183" t="n"/>
      <c r="G50" s="183" t="n"/>
    </row>
    <row r="51" ht="36" customHeight="1">
      <c r="B51" s="1" t="inlineStr">
        <is>
          <t>Metrik Ringkasan</t>
        </is>
      </c>
      <c r="C51" s="1" t="inlineStr">
        <is>
          <t>—</t>
        </is>
      </c>
      <c r="D51" s="1" t="inlineStr">
        <is>
          <t>Nilai 🟩</t>
        </is>
      </c>
      <c r="E51" s="1" t="inlineStr">
        <is>
          <t>Unit</t>
        </is>
      </c>
      <c r="F51" s="1" t="inlineStr">
        <is>
          <t>—</t>
        </is>
      </c>
      <c r="G51" s="1" t="inlineStr">
        <is>
          <t>Catatan</t>
        </is>
      </c>
    </row>
    <row r="52" ht="14.25" customHeight="1">
      <c r="B52" s="17" t="inlineStr">
        <is>
          <t>Jumlah aktivitas aktif</t>
        </is>
      </c>
      <c r="C52" s="7" t="n"/>
      <c r="D52" s="14">
        <f>SUM(F28,F29,F30,F32,F33,F35,F36,F37,F39,F40,F41,F43,F44,F45,F47,F48)</f>
        <v/>
      </c>
      <c r="E52" s="8" t="inlineStr">
        <is>
          <t>dari 16</t>
        </is>
      </c>
      <c r="F52" s="7" t="n"/>
      <c r="G52" s="9" t="inlineStr">
        <is>
          <t>Jumlah aktivitas yang ditandai 1 (aktif)</t>
        </is>
      </c>
    </row>
    <row r="53" ht="18" customHeight="1">
      <c r="B53" s="17" t="inlineStr">
        <is>
          <t>kWh per ton ikan (hanya AP aktif)</t>
        </is>
      </c>
      <c r="C53" s="7" t="n"/>
      <c r="D53" s="10">
        <f>SUM(D28*F28,D29*F29,D30*F30,D32*F32,D33*F33,D35*F35,D36*F36,D37*F37,D39*F39,D40*F40,D41*F41,D43*F43,D44*F44,D45*F45,D47*F47,D48*F48)</f>
        <v/>
      </c>
      <c r="E53" s="8" t="inlineStr">
        <is>
          <t>kWh/ton</t>
        </is>
      </c>
      <c r="F53" s="7" t="n"/>
      <c r="G53" s="9" t="inlineStr">
        <is>
          <t>Hanya aktivitas aktif</t>
        </is>
      </c>
    </row>
    <row r="54" ht="18" customHeight="1">
      <c r="B54" s="17" t="inlineStr">
        <is>
          <t>kWh per ton es</t>
        </is>
      </c>
      <c r="C54" s="7" t="n"/>
      <c r="D54" s="10">
        <f>D35*(1/1)</f>
        <v/>
      </c>
      <c r="E54" s="8" t="inlineStr">
        <is>
          <t>kWh/ton</t>
        </is>
      </c>
      <c r="F54" s="7" t="n"/>
      <c r="G54" s="9" t="inlineStr">
        <is>
          <t>asumsi kebutuhan ton es:ikan = 1:1</t>
        </is>
      </c>
    </row>
    <row r="55" ht="47.25" customHeight="1">
      <c r="B55" s="17" t="inlineStr">
        <is>
          <t>Total kebutuhan listrik komoditas ikan per tahun (termasuk es untuk aktivitas perikanan)</t>
        </is>
      </c>
      <c r="C55" s="7" t="n"/>
      <c r="D55" s="14">
        <f>D53*C13</f>
        <v/>
      </c>
      <c r="E55" s="8" t="inlineStr">
        <is>
          <t>kWh/tahun</t>
        </is>
      </c>
      <c r="F55" s="7" t="n"/>
      <c r="G55" s="9" t="inlineStr">
        <is>
          <t>kWh/ton komoditas * target produksi</t>
        </is>
      </c>
    </row>
    <row r="56" ht="48" customHeight="1">
      <c r="B56" s="17" t="inlineStr">
        <is>
          <t>Total kebutuhan listrik komoditas es per tahun (dijual untuk pihak luar selain kegiatan perikanan lokal)</t>
        </is>
      </c>
      <c r="C56" s="7" t="n"/>
      <c r="D56" s="14">
        <f>D54*C21</f>
        <v/>
      </c>
      <c r="E56" s="8" t="inlineStr">
        <is>
          <t>kWh/tahun</t>
        </is>
      </c>
      <c r="F56" s="7" t="n"/>
      <c r="G56" s="9" t="inlineStr">
        <is>
          <t>kWh/ton komoditas * target produksi</t>
        </is>
      </c>
    </row>
    <row r="57" ht="39.75" customHeight="1">
      <c r="B57" s="17" t="inlineStr">
        <is>
          <t>Total kebutuhan listrik ekonomi produktif per tahun</t>
        </is>
      </c>
      <c r="C57" s="7" t="n"/>
      <c r="D57" s="14">
        <f>SUM(D55:D56)</f>
        <v/>
      </c>
      <c r="E57" s="8" t="inlineStr">
        <is>
          <t>kWh/tahun</t>
        </is>
      </c>
      <c r="F57" s="7" t="n"/>
      <c r="G57" s="9" t="inlineStr">
        <is>
          <t>total kWh/tahun seluruh komoditas</t>
        </is>
      </c>
    </row>
    <row r="58" ht="39.75" customHeight="1">
      <c r="B58" s="17" t="inlineStr">
        <is>
          <t>Total kebutuhan listrik rumah tangga per tahun</t>
        </is>
      </c>
      <c r="C58" s="7" t="n"/>
      <c r="D58" s="14">
        <f>C6*C8</f>
        <v/>
      </c>
      <c r="E58" s="8" t="inlineStr">
        <is>
          <t>kWh/tahun</t>
        </is>
      </c>
      <c r="F58" s="7" t="n"/>
      <c r="G58" s="9" t="inlineStr">
        <is>
          <t>kebutuhan listrik per rumah tangga * jumlah rumah tangga</t>
        </is>
      </c>
    </row>
    <row r="59" ht="39.75" customHeight="1">
      <c r="B59" s="17" t="inlineStr">
        <is>
          <t>Total kebutuhan listrik desa per tahun</t>
        </is>
      </c>
      <c r="C59" s="7" t="n"/>
      <c r="D59" s="14">
        <f>SUM(D57:D58)</f>
        <v/>
      </c>
      <c r="E59" s="8" t="inlineStr">
        <is>
          <t>kWh/tahun</t>
        </is>
      </c>
      <c r="F59" s="7" t="n"/>
      <c r="G59" s="9" t="inlineStr">
        <is>
          <t>Kebutuhan listrik rumah tangga dan ekonomi produktif</t>
        </is>
      </c>
    </row>
    <row r="60" ht="33.75" customHeight="1">
      <c r="B60" s="17" t="inlineStr">
        <is>
          <t>Kebutuhan kapasitas PLTS indikatif</t>
        </is>
      </c>
      <c r="C60" s="7" t="n"/>
      <c r="D60" s="10">
        <f>D59/(8760*0.16)</f>
        <v/>
      </c>
      <c r="E60" s="8" t="inlineStr">
        <is>
          <t>kWp</t>
        </is>
      </c>
      <c r="F60" s="7" t="n"/>
      <c r="G60" s="9" t="inlineStr">
        <is>
          <t>kWh/tahun ÷ (8760 jam/tahun x CF PLTS), asumsi CF PLTS 16%</t>
        </is>
      </c>
    </row>
    <row r="61" ht="29.25" customHeight="1">
      <c r="B61" s="17" t="inlineStr">
        <is>
          <t>Estimasi kapasitas BESS</t>
        </is>
      </c>
      <c r="C61" s="7" t="n"/>
      <c r="D61" s="10">
        <f>D60*2</f>
        <v/>
      </c>
      <c r="E61" s="8" t="inlineStr">
        <is>
          <t>kWh</t>
        </is>
      </c>
      <c r="F61" s="7" t="n"/>
      <c r="G61" s="9" t="inlineStr">
        <is>
          <t>Rule of thumb: BESS ≈ 2× PLTS kWp → kWh, untuk fishing village</t>
        </is>
      </c>
    </row>
    <row r="62" ht="29.25" customHeight="1">
      <c r="B62" s="17" t="inlineStr">
        <is>
          <t>Target kapasitas PLTS (oversized)</t>
        </is>
      </c>
      <c r="C62" s="7" t="n"/>
      <c r="D62" s="15" t="n">
        <v>1000</v>
      </c>
      <c r="E62" s="8" t="inlineStr">
        <is>
          <t>kWp</t>
        </is>
      </c>
      <c r="F62" s="7" t="n"/>
      <c r="G62" s="9" t="inlineStr">
        <is>
          <t>kalau ada target, misal 1 MWp per KDKMP</t>
        </is>
      </c>
    </row>
    <row r="63" ht="29.45" customHeight="1">
      <c r="B63" s="17" t="inlineStr">
        <is>
          <t>Kapasitas PLTS untuk Model 2 (if oversized)</t>
        </is>
      </c>
      <c r="C63" s="7" t="n"/>
      <c r="D63" s="10">
        <f>IF(D60&lt;D62,D62,D60)</f>
        <v/>
      </c>
      <c r="E63" s="8" t="inlineStr">
        <is>
          <t>kWp</t>
        </is>
      </c>
      <c r="F63" s="7" t="n"/>
      <c r="G63" s="9" t="inlineStr">
        <is>
          <t>kalau ada target, misal 1 MWp per KDKMP</t>
        </is>
      </c>
    </row>
    <row r="64" ht="27.75" customHeight="1">
      <c r="B64" s="17" t="inlineStr">
        <is>
          <t>Oversizing (%)</t>
        </is>
      </c>
      <c r="C64" s="7" t="n"/>
      <c r="D64" s="18">
        <f>(D63-D60)/D60</f>
        <v/>
      </c>
      <c r="E64" s="8" t="inlineStr">
        <is>
          <t>-</t>
        </is>
      </c>
      <c r="F64" s="7" t="n"/>
      <c r="G64" s="9" t="inlineStr">
        <is>
          <t>ratio surplus capacity (oversized cap-kebutuhan cap)/kebutuhan cap</t>
        </is>
      </c>
    </row>
    <row r="65" ht="27.75" customHeight="1">
      <c r="B65" s="17" t="inlineStr">
        <is>
          <t>Estimasi listrik yang diekspor ke PLN</t>
        </is>
      </c>
      <c r="C65" s="7" t="n"/>
      <c r="D65" s="184">
        <f>D64*D59</f>
        <v/>
      </c>
      <c r="E65" s="8" t="inlineStr">
        <is>
          <t>kWh/tahun</t>
        </is>
      </c>
      <c r="F65" s="7" t="n"/>
      <c r="G65" s="9" t="inlineStr">
        <is>
          <t>HANYA jika oversized PLTS</t>
        </is>
      </c>
    </row>
  </sheetData>
  <mergeCells count="11">
    <mergeCell ref="B38:G38"/>
    <mergeCell ref="B2:G2"/>
    <mergeCell ref="B34:G34"/>
    <mergeCell ref="A1:G1"/>
    <mergeCell ref="B42:G42"/>
    <mergeCell ref="B46:G46"/>
    <mergeCell ref="B31:G31"/>
    <mergeCell ref="B27:G27"/>
    <mergeCell ref="B4:G4"/>
    <mergeCell ref="B50:G50"/>
    <mergeCell ref="B25:G25"/>
  </mergeCell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K78"/>
  <sheetViews>
    <sheetView showGridLines="0" topLeftCell="A79" zoomScale="90" zoomScaleNormal="90" workbookViewId="0">
      <selection activeCell="M35" sqref="M35"/>
    </sheetView>
  </sheetViews>
  <sheetFormatPr baseColWidth="8" defaultColWidth="8.5703125" defaultRowHeight="14.45"/>
  <cols>
    <col width="3" customWidth="1" min="1" max="1"/>
    <col width="8" customWidth="1" min="2" max="2"/>
    <col width="32" customWidth="1" min="3" max="3"/>
    <col width="28" customWidth="1" min="4" max="4"/>
    <col width="16" customWidth="1" min="5" max="5"/>
    <col width="13" customWidth="1" min="6" max="6"/>
    <col width="12" customWidth="1" min="7" max="7"/>
    <col width="11" customWidth="1" min="8" max="8"/>
    <col width="15" customWidth="1" min="9" max="9"/>
    <col width="16" customWidth="1" min="10" max="10"/>
    <col width="36" customWidth="1" min="11" max="11"/>
  </cols>
  <sheetData>
    <row r="1" ht="30" customHeight="1">
      <c r="A1" s="156" t="inlineStr">
        <is>
          <t>💰  KAPASITAS PERALATAN &amp; KEBUTUHAN INVESTASI — Desa Perikanan KDKMP</t>
        </is>
      </c>
      <c r="B1" s="183" t="n"/>
      <c r="C1" s="183" t="n"/>
      <c r="D1" s="183" t="n"/>
      <c r="E1" s="183" t="n"/>
      <c r="F1" s="183" t="n"/>
      <c r="G1" s="183" t="n"/>
      <c r="H1" s="183" t="n"/>
      <c r="I1" s="183" t="n"/>
      <c r="J1" s="183" t="n"/>
      <c r="K1" s="183" t="n"/>
    </row>
    <row r="2" ht="18" customHeight="1">
      <c r="B2" s="157" t="inlineStr">
        <is>
          <t>🟨 Kuning (biru) = INPUT — ubah sesuai kondisi lapangan   |   🟩 Hijau tua = Kalkulasi otomatis   |   🟩 Hijau muda  = Link dari sheet 🐟 Kalkulator   |   Abu-abu = Aktivitas tidak aktif (Kolom F=0 di sheet kalkulator)</t>
        </is>
      </c>
      <c r="C2" s="183" t="n"/>
      <c r="D2" s="183" t="n"/>
      <c r="E2" s="183" t="n"/>
      <c r="F2" s="183" t="n"/>
      <c r="G2" s="183" t="n"/>
      <c r="H2" s="183" t="n"/>
      <c r="I2" s="183" t="n"/>
      <c r="J2" s="183" t="n"/>
      <c r="K2" s="183" t="n"/>
    </row>
    <row r="3"/>
    <row r="4" ht="18" customHeight="1">
      <c r="B4" s="154" t="inlineStr">
        <is>
          <t>A.  ASUMSI TEKNIS KAPASITAS  —  Ubah sesuai data lapangan / desain teknis</t>
        </is>
      </c>
      <c r="C4" s="183" t="n"/>
      <c r="D4" s="183" t="n"/>
      <c r="E4" s="183" t="n"/>
      <c r="F4" s="183" t="n"/>
      <c r="G4" s="183" t="n"/>
      <c r="H4" s="183" t="n"/>
      <c r="I4" s="183" t="n"/>
      <c r="J4" s="183" t="n"/>
      <c r="K4" s="183" t="n"/>
    </row>
    <row r="5" ht="36" customHeight="1">
      <c r="B5" s="19" t="n"/>
      <c r="C5" s="20" t="inlineStr">
        <is>
          <t>Parameter Asumsi</t>
        </is>
      </c>
      <c r="D5" s="20" t="n"/>
      <c r="E5" s="20" t="inlineStr">
        <is>
          <t>Nilai Input 🟨</t>
        </is>
      </c>
      <c r="F5" s="20" t="inlineStr">
        <is>
          <t>Unit</t>
        </is>
      </c>
      <c r="G5" s="168" t="inlineStr">
        <is>
          <t>Description</t>
        </is>
      </c>
      <c r="H5" s="185" t="n"/>
      <c r="I5" s="185" t="n"/>
      <c r="J5" s="185" t="n"/>
      <c r="K5" s="186" t="n"/>
    </row>
    <row r="6" ht="18" customHeight="1">
      <c r="B6" s="21" t="n"/>
      <c r="C6" s="22" t="inlineStr">
        <is>
          <t>Hari operasi penangkapan ikan / tahun</t>
        </is>
      </c>
      <c r="D6" s="23" t="n"/>
      <c r="E6" s="124" t="n">
        <v>200</v>
      </c>
      <c r="F6" s="24" t="inlineStr">
        <is>
          <t>hari/thn</t>
        </is>
      </c>
      <c r="G6" s="167" t="inlineStr">
        <is>
          <t>Jumlah hari melaut per tahun (245 hari di Indonesia bagian barat)</t>
        </is>
      </c>
      <c r="H6" s="187" t="n"/>
      <c r="I6" s="187" t="n"/>
      <c r="J6" s="187" t="n"/>
      <c r="K6" s="188" t="n"/>
    </row>
    <row r="7" ht="18" customHeight="1">
      <c r="B7" s="21" t="n"/>
      <c r="C7" s="22" t="inlineStr">
        <is>
          <t>Hari operasi pabrik es / tahun</t>
        </is>
      </c>
      <c r="D7" s="23" t="n"/>
      <c r="E7" s="26" t="n">
        <v>365</v>
      </c>
      <c r="F7" s="24" t="inlineStr">
        <is>
          <t>hari/thn</t>
        </is>
      </c>
      <c r="G7" s="167" t="inlineStr">
        <is>
          <t>Ice maker dan cold storage beroperasi sepanjang tahun</t>
        </is>
      </c>
      <c r="H7" s="187" t="n"/>
      <c r="I7" s="187" t="n"/>
      <c r="J7" s="187" t="n"/>
      <c r="K7" s="188" t="n"/>
    </row>
    <row r="8" ht="18" customHeight="1">
      <c r="B8" s="21" t="n"/>
      <c r="C8" s="22" t="inlineStr">
        <is>
          <t>Tangkapan per kapal per trip</t>
        </is>
      </c>
      <c r="D8" s="23" t="n"/>
      <c r="E8" s="124" t="n">
        <v>150</v>
      </c>
      <c r="F8" s="24" t="inlineStr">
        <is>
          <t>kg/trip</t>
        </is>
      </c>
      <c r="G8" s="167" t="inlineStr">
        <is>
          <t>Rata-rata tangkapan kapal kecil &lt;5 GT; sumber: KKP 2022</t>
        </is>
      </c>
      <c r="H8" s="187" t="n"/>
      <c r="I8" s="187" t="n"/>
      <c r="J8" s="187" t="n"/>
      <c r="K8" s="188" t="n"/>
    </row>
    <row r="9" ht="18" customHeight="1">
      <c r="B9" s="21" t="n"/>
      <c r="C9" s="22" t="inlineStr">
        <is>
          <t>Trip per kapal per tahun</t>
        </is>
      </c>
      <c r="D9" s="23" t="n"/>
      <c r="E9" s="26" t="n">
        <v>200</v>
      </c>
      <c r="F9" s="24" t="inlineStr">
        <is>
          <t>trip/thn</t>
        </is>
      </c>
      <c r="G9" s="167" t="inlineStr">
        <is>
          <t>Asumsi 1 trip/hari × hari operasi; sesuaikan dengan pola lokal</t>
        </is>
      </c>
      <c r="H9" s="187" t="n"/>
      <c r="I9" s="187" t="n"/>
      <c r="J9" s="187" t="n"/>
      <c r="K9" s="188" t="n"/>
    </row>
    <row r="10" ht="18" customHeight="1">
      <c r="B10" s="21" t="n"/>
      <c r="C10" s="22" t="inlineStr">
        <is>
          <t>Daya motor perahu per kapal</t>
        </is>
      </c>
      <c r="D10" s="23" t="n"/>
      <c r="E10" s="124" t="n">
        <v>3.7</v>
      </c>
      <c r="F10" s="24" t="inlineStr">
        <is>
          <t>kW/kapal</t>
        </is>
      </c>
      <c r="G10" s="167" t="inlineStr">
        <is>
          <t>Setara motor 5 HP; untuk kapal &lt;5 GT; sumber: SEAFDEC 2022</t>
        </is>
      </c>
      <c r="H10" s="187" t="n"/>
      <c r="I10" s="187" t="n"/>
      <c r="J10" s="187" t="n"/>
      <c r="K10" s="188" t="n"/>
    </row>
    <row r="11" ht="18" customHeight="1">
      <c r="B11" s="21" t="n"/>
      <c r="C11" s="22" t="inlineStr">
        <is>
          <t>Jam operasi motor perahu per trip</t>
        </is>
      </c>
      <c r="D11" s="23" t="n"/>
      <c r="E11" s="26" t="n">
        <v>6</v>
      </c>
      <c r="F11" s="24" t="inlineStr">
        <is>
          <t>jam/trip</t>
        </is>
      </c>
      <c r="G11" s="167" t="inlineStr">
        <is>
          <t>Pergi-pulang + waktu mancing; rata-rata perairan pesisir</t>
        </is>
      </c>
      <c r="H11" s="187" t="n"/>
      <c r="I11" s="187" t="n"/>
      <c r="J11" s="187" t="n"/>
      <c r="K11" s="188" t="n"/>
    </row>
    <row r="12" ht="18" customHeight="1">
      <c r="B12" s="21" t="n"/>
      <c r="C12" s="22" t="inlineStr">
        <is>
          <t>Efisiensi drivetrain / pengisian</t>
        </is>
      </c>
      <c r="D12" s="23" t="n"/>
      <c r="E12" s="189" t="n">
        <v>0.88</v>
      </c>
      <c r="F12" s="24" t="inlineStr">
        <is>
          <t>—</t>
        </is>
      </c>
      <c r="G12" s="167" t="inlineStr">
        <is>
          <t>Efisiensi motor listrik + pengisian baterai (0.85–0.92)</t>
        </is>
      </c>
      <c r="H12" s="187" t="n"/>
      <c r="I12" s="187" t="n"/>
      <c r="J12" s="187" t="n"/>
      <c r="K12" s="188" t="n"/>
    </row>
    <row r="13" ht="18" customHeight="1">
      <c r="B13" s="21" t="n"/>
      <c r="C13" s="22" t="inlineStr">
        <is>
          <t>Kapasitas baterai kapal (kWh/kapal)</t>
        </is>
      </c>
      <c r="D13" s="23" t="n"/>
      <c r="E13" s="28">
        <f>E10*E11/E12</f>
        <v/>
      </c>
      <c r="F13" s="24" t="inlineStr">
        <is>
          <t>kWh/kapal</t>
        </is>
      </c>
      <c r="G13" s="167" t="inlineStr">
        <is>
          <t>← KALKULASI: daya × jam / efisiensi</t>
        </is>
      </c>
      <c r="H13" s="187" t="n"/>
      <c r="I13" s="187" t="n"/>
      <c r="J13" s="187" t="n"/>
      <c r="K13" s="188" t="n"/>
    </row>
    <row r="14" ht="18" customHeight="1">
      <c r="B14" s="21" t="n"/>
      <c r="C14" s="22" t="inlineStr">
        <is>
          <t>Kapasitas unit ice maker</t>
        </is>
      </c>
      <c r="D14" s="23" t="n"/>
      <c r="E14" s="124" t="n">
        <v>4</v>
      </c>
      <c r="F14" s="24" t="inlineStr">
        <is>
          <t>ton/hari/unit</t>
        </is>
      </c>
      <c r="G14" s="167" t="inlineStr">
        <is>
          <t>Ukuran unit ice maker yang tersedia di pasaran Indonesia</t>
        </is>
      </c>
      <c r="H14" s="187" t="n"/>
      <c r="I14" s="187" t="n"/>
      <c r="J14" s="187" t="n"/>
      <c r="K14" s="188" t="n"/>
    </row>
    <row r="15" ht="18" customHeight="1">
      <c r="B15" s="21" t="n"/>
      <c r="C15" s="22" t="inlineStr">
        <is>
          <t>Faktor buffer kapasitas ice maker</t>
        </is>
      </c>
      <c r="D15" s="23" t="n"/>
      <c r="E15" s="26" t="n">
        <v>1.25</v>
      </c>
      <c r="F15" s="24" t="inlineStr">
        <is>
          <t>—</t>
        </is>
      </c>
      <c r="G15" s="167" t="inlineStr">
        <is>
          <t>Buffer 25% untuk puncak permintaan musim panen</t>
        </is>
      </c>
      <c r="H15" s="187" t="n"/>
      <c r="I15" s="187" t="n"/>
      <c r="J15" s="187" t="n"/>
      <c r="K15" s="188" t="n"/>
    </row>
    <row r="16" ht="18" customHeight="1">
      <c r="B16" s="21" t="n"/>
      <c r="C16" s="22" t="inlineStr">
        <is>
          <t>Lama simpan ikan di cold storage</t>
        </is>
      </c>
      <c r="D16" s="23" t="n"/>
      <c r="E16" s="124" t="n">
        <v>5</v>
      </c>
      <c r="F16" s="24" t="inlineStr">
        <is>
          <t>hari</t>
        </is>
      </c>
      <c r="G16" s="167" t="inlineStr">
        <is>
          <t>Rata-rata 3–7 hari sebelum distribusi; sesuaikan profil penjualan</t>
        </is>
      </c>
      <c r="H16" s="187" t="n"/>
      <c r="I16" s="187" t="n"/>
      <c r="J16" s="187" t="n"/>
      <c r="K16" s="188" t="n"/>
    </row>
    <row r="17" ht="18" customHeight="1">
      <c r="B17" s="21" t="n"/>
      <c r="C17" s="22" t="inlineStr">
        <is>
          <t>Densitas penyimpanan ikan beku</t>
        </is>
      </c>
      <c r="D17" s="23" t="n"/>
      <c r="E17" s="189" t="n">
        <v>0.4</v>
      </c>
      <c r="F17" s="24" t="inlineStr">
        <is>
          <t>ton/m³</t>
        </is>
      </c>
      <c r="G17" s="167" t="inlineStr">
        <is>
          <t>Ikan susun dalam keranjang: 350–450 kg/m³</t>
        </is>
      </c>
      <c r="H17" s="187" t="n"/>
      <c r="I17" s="187" t="n"/>
      <c r="J17" s="187" t="n"/>
      <c r="K17" s="188" t="n"/>
    </row>
    <row r="18" ht="18" customHeight="1">
      <c r="B18" s="21" t="n"/>
      <c r="C18" s="22" t="inlineStr">
        <is>
          <t>Faktor buffer kapasitas cold storage</t>
        </is>
      </c>
      <c r="D18" s="23" t="n"/>
      <c r="E18" s="26" t="n">
        <v>1.3</v>
      </c>
      <c r="F18" s="24" t="inlineStr">
        <is>
          <t>—</t>
        </is>
      </c>
      <c r="G18" s="167" t="inlineStr">
        <is>
          <t>Buffer 30% untuk musim puncak</t>
        </is>
      </c>
      <c r="H18" s="187" t="n"/>
      <c r="I18" s="187" t="n"/>
      <c r="J18" s="187" t="n"/>
      <c r="K18" s="188" t="n"/>
    </row>
    <row r="19" ht="18" customHeight="1">
      <c r="B19" s="21" t="n"/>
      <c r="C19" s="22" t="inlineStr">
        <is>
          <t>Kebutuhan air per ton ikan diproses</t>
        </is>
      </c>
      <c r="D19" s="23" t="n"/>
      <c r="E19" s="26" t="n">
        <v>3</v>
      </c>
      <c r="F19" s="24" t="inlineStr">
        <is>
          <t>m³/ton</t>
        </is>
      </c>
      <c r="G19" s="167" t="inlineStr">
        <is>
          <t>Cuci + sanitasi; sumber: FAO (2007) 'Water Use in Fish Processing'</t>
        </is>
      </c>
      <c r="H19" s="187" t="n"/>
      <c r="I19" s="187" t="n"/>
      <c r="J19" s="187" t="n"/>
      <c r="K19" s="188" t="n"/>
    </row>
    <row r="20" ht="18" customHeight="1">
      <c r="B20" s="21" t="n"/>
      <c r="C20" s="22" t="inlineStr">
        <is>
          <t>Kebutuhan air per ton es diproduksi</t>
        </is>
      </c>
      <c r="D20" s="23" t="n"/>
      <c r="E20" s="26" t="n">
        <v>1.1</v>
      </c>
      <c r="F20" s="24" t="inlineStr">
        <is>
          <t>m³/ton es</t>
        </is>
      </c>
      <c r="G20" s="167" t="inlineStr">
        <is>
          <t>Air baku untuk ice maker + susut uap; sumber: ASHRAE (2018)</t>
        </is>
      </c>
      <c r="H20" s="187" t="n"/>
      <c r="I20" s="187" t="n"/>
      <c r="J20" s="187" t="n"/>
      <c r="K20" s="188" t="n"/>
    </row>
    <row r="21" ht="18" customHeight="1">
      <c r="B21" s="21" t="n"/>
      <c r="C21" s="22" t="inlineStr">
        <is>
          <t>Luas area TPI / dermaga</t>
        </is>
      </c>
      <c r="D21" s="23" t="n"/>
      <c r="E21" s="26" t="n">
        <v>200</v>
      </c>
      <c r="F21" s="24" t="inlineStr">
        <is>
          <t>m²</t>
        </is>
      </c>
      <c r="G21" s="167" t="inlineStr">
        <is>
          <t>Estimasi; sesuaikan dengan desain TPI aktual</t>
        </is>
      </c>
      <c r="H21" s="187" t="n"/>
      <c r="I21" s="187" t="n"/>
      <c r="J21" s="187" t="n"/>
      <c r="K21" s="188" t="n"/>
    </row>
    <row r="22" ht="18" customHeight="1">
      <c r="B22" s="21" t="n"/>
      <c r="C22" s="22" t="inlineStr">
        <is>
          <t>Luas fasilitas pengolahan</t>
        </is>
      </c>
      <c r="D22" s="23" t="n"/>
      <c r="E22" s="26" t="n">
        <v>300</v>
      </c>
      <c r="F22" s="24" t="inlineStr">
        <is>
          <t>m²</t>
        </is>
      </c>
      <c r="G22" s="167" t="inlineStr">
        <is>
          <t>Processing + penyimpanan; sesuaikan desain</t>
        </is>
      </c>
      <c r="H22" s="187" t="n"/>
      <c r="I22" s="187" t="n"/>
      <c r="J22" s="187" t="n"/>
      <c r="K22" s="188" t="n"/>
    </row>
    <row r="23" ht="18" customHeight="1">
      <c r="B23" s="21" t="n"/>
      <c r="C23" s="22" t="inlineStr">
        <is>
          <t>Standar pencahayaan kerja (LED)</t>
        </is>
      </c>
      <c r="D23" s="23" t="n"/>
      <c r="E23" s="26" t="n">
        <v>15</v>
      </c>
      <c r="F23" s="24" t="inlineStr">
        <is>
          <t>W/m²</t>
        </is>
      </c>
      <c r="G23" s="167" t="inlineStr">
        <is>
          <t>SNI 03-6197-2011 untuk area kerja industri makanan</t>
        </is>
      </c>
      <c r="H23" s="187" t="n"/>
      <c r="I23" s="187" t="n"/>
      <c r="J23" s="187" t="n"/>
      <c r="K23" s="188" t="n"/>
    </row>
    <row r="24" ht="18" customHeight="1">
      <c r="B24" s="21" t="n"/>
      <c r="C24" s="22" t="inlineStr">
        <is>
          <t>Jam operasi penerangan per hari</t>
        </is>
      </c>
      <c r="D24" s="23" t="n"/>
      <c r="E24" s="124" t="n">
        <v>12</v>
      </c>
      <c r="F24" s="24" t="inlineStr">
        <is>
          <t>jam/hari</t>
        </is>
      </c>
      <c r="G24" s="167" t="inlineStr">
        <is>
          <t>Termasuk persiapan pagi dan sore setelah sunset</t>
        </is>
      </c>
      <c r="H24" s="187" t="n"/>
      <c r="I24" s="187" t="n"/>
      <c r="J24" s="187" t="n"/>
      <c r="K24" s="188" t="n"/>
    </row>
    <row r="25"/>
    <row r="26"/>
    <row r="27" ht="18" customHeight="1">
      <c r="B27" s="154" t="inlineStr">
        <is>
          <t>B.  KAPASITAS PERALATAN PRODUKSI  —  Dihitung dari target produksi &amp; asumsi teknis</t>
        </is>
      </c>
      <c r="C27" s="183" t="n"/>
      <c r="D27" s="183" t="n"/>
      <c r="E27" s="183" t="n"/>
      <c r="F27" s="183" t="n"/>
      <c r="G27" s="183" t="n"/>
      <c r="H27" s="183" t="n"/>
      <c r="I27" s="183" t="n"/>
      <c r="J27" s="183" t="n"/>
      <c r="K27" s="183" t="n"/>
    </row>
    <row r="28" ht="39.75" customHeight="1">
      <c r="B28" s="20" t="inlineStr">
        <is>
          <t>ID</t>
        </is>
      </c>
      <c r="C28" s="20" t="inlineStr">
        <is>
          <t>Nama Peralatan</t>
        </is>
      </c>
      <c r="D28" s="20" t="inlineStr">
        <is>
          <t>Basis Kalkulasi Kapasitas</t>
        </is>
      </c>
      <c r="E28" s="20" t="inlineStr">
        <is>
          <t>Kapasitas 🟩</t>
        </is>
      </c>
      <c r="F28" s="20" t="inlineStr">
        <is>
          <t>Satuan Kapasitas</t>
        </is>
      </c>
      <c r="G28" s="20" t="inlineStr">
        <is>
          <t>Daya (kW) 🟩</t>
        </is>
      </c>
      <c r="H28" s="20" t="inlineStr">
        <is>
          <t>Jumlah Unit 🟩</t>
        </is>
      </c>
      <c r="I28" s="20" t="inlineStr">
        <is>
          <t>Harga/Unit
(Rp juta) 🟨</t>
        </is>
      </c>
      <c r="J28" s="20" t="inlineStr">
        <is>
          <t>Total Investasi
(Rp juta) 🟩</t>
        </is>
      </c>
      <c r="K28" s="20" t="inlineStr">
        <is>
          <t>Sumber Harga &amp; Catatan</t>
        </is>
      </c>
    </row>
    <row r="29" ht="15.75" customHeight="1">
      <c r="B29" s="166" t="inlineStr">
        <is>
          <t>── FASE 1: PRA-PENANGKAPAN</t>
        </is>
      </c>
      <c r="C29" s="187" t="n"/>
      <c r="D29" s="187" t="n"/>
      <c r="E29" s="187" t="n"/>
      <c r="F29" s="187" t="n"/>
      <c r="G29" s="187" t="n"/>
      <c r="H29" s="187" t="n"/>
      <c r="I29" s="187" t="n"/>
      <c r="J29" s="187" t="n"/>
      <c r="K29" s="187" t="n"/>
    </row>
    <row r="30" ht="21.75" customHeight="1">
      <c r="B30" s="130" t="inlineStr">
        <is>
          <t>AP1</t>
        </is>
      </c>
      <c r="C30" s="22" t="inlineStr">
        <is>
          <t>Perahu listrik (motor + baterai + charger)</t>
        </is>
      </c>
      <c r="D30" s="167" t="inlineStr">
        <is>
          <t>Jumlah kapal = CEILING(target ikan × 1000 ÷ (tangkapan/trip × trip/thn), 1)</t>
        </is>
      </c>
      <c r="E30" s="29">
        <f>CEILING('🐟 Kalkulator Kebutuhan Listrik'!C13*1000/(E8*E9),1)</f>
        <v/>
      </c>
      <c r="F30" s="24" t="inlineStr">
        <is>
          <t>kapal</t>
        </is>
      </c>
      <c r="G30" s="28">
        <f>H30*E10</f>
        <v/>
      </c>
      <c r="H30" s="30">
        <f>IF('🐟 Kalkulator Kebutuhan Listrik'!F28=1,CEILING('🐟 Kalkulator Kebutuhan Listrik'!C13*1000/(E8*E9),1),0)</f>
        <v/>
      </c>
      <c r="I30" s="26" t="n">
        <v>50</v>
      </c>
      <c r="J30" s="28">
        <f>H30*I30</f>
        <v/>
      </c>
      <c r="K30" s="31" t="inlineStr">
        <is>
          <t>Rp 50 juta/kapal = konversi motor listrik Rp 15–20 jt + baterai ~25 kWh Rp 25–30 jt + charger Rp 5–8 jt. Sumber: KESDM (2023), market survey</t>
        </is>
      </c>
    </row>
    <row r="31" ht="21.75" customHeight="1">
      <c r="B31" s="32" t="inlineStr">
        <is>
          <t>AP2</t>
        </is>
      </c>
      <c r="C31" s="22" t="inlineStr">
        <is>
          <t>Set LED fish attractor (per kapal)</t>
        </is>
      </c>
      <c r="D31" s="167" t="inlineStr">
        <is>
          <t>Jumlah set = jumlah kapal (1 set per kapal)</t>
        </is>
      </c>
      <c r="E31" s="29">
        <f>CEILING('🐟 Kalkulator Kebutuhan Listrik'!C13*1000/(E8*E9),1)</f>
        <v/>
      </c>
      <c r="F31" s="24" t="inlineStr">
        <is>
          <t>set/kapal</t>
        </is>
      </c>
      <c r="G31" s="28">
        <f>H31*0.1</f>
        <v/>
      </c>
      <c r="H31" s="30">
        <f>IF('🐟 Kalkulator Kebutuhan Listrik'!F29=1,CEILING('🐟 Kalkulator Kebutuhan Listrik'!C13*1000/(E8*E9),1),0)</f>
        <v/>
      </c>
      <c r="I31" s="26" t="n">
        <v>2</v>
      </c>
      <c r="J31" s="28">
        <f>H31*I31</f>
        <v/>
      </c>
      <c r="K31" s="31" t="inlineStr">
        <is>
          <t>Rp 2 juta/set = 2×LED 50W + kabel waterproof + housing. Sumber: toko maritim Surabaya 2024</t>
        </is>
      </c>
    </row>
    <row r="32" ht="21.75" customHeight="1">
      <c r="B32" s="32" t="inlineStr">
        <is>
          <t>AP3</t>
        </is>
      </c>
      <c r="C32" s="33" t="inlineStr">
        <is>
          <t>Peralatan navigasi &amp; fish finder</t>
        </is>
      </c>
      <c r="D32" s="34" t="inlineStr">
        <is>
          <t>Jumlah unit = jumlah kapal (1 unit per kapal)</t>
        </is>
      </c>
      <c r="E32" s="35">
        <f>CEILING('🐟 Kalkulator Kebutuhan Listrik'!C13*1000/(E8*E9),1)</f>
        <v/>
      </c>
      <c r="F32" s="36" t="inlineStr">
        <is>
          <t>unit/kapal</t>
        </is>
      </c>
      <c r="G32" s="37" t="inlineStr">
        <is>
          <t>—</t>
        </is>
      </c>
      <c r="H32" s="147">
        <f>IF('🐟 Kalkulator Kebutuhan Listrik'!F30=1,CEILING('🐟 Kalkulator Kebutuhan Listrik'!C13*1000/(E8*E9),1),0)</f>
        <v/>
      </c>
      <c r="I32" s="26" t="n">
        <v>5</v>
      </c>
      <c r="J32" s="28">
        <f>H32*I32</f>
        <v/>
      </c>
      <c r="K32" s="39" t="inlineStr">
        <is>
          <t>Rp 5 juta/unit = GPS chartplotter + echosounder entry-level. Sumber: toko marine electronics 2024</t>
        </is>
      </c>
    </row>
    <row r="33" ht="15.75" customHeight="1">
      <c r="B33" s="166" t="inlineStr">
        <is>
          <t>── FASE 2: PENDARATAN &amp; PELELANGAN (TPI)</t>
        </is>
      </c>
      <c r="C33" s="187" t="n"/>
      <c r="D33" s="187" t="n"/>
      <c r="E33" s="187" t="n"/>
      <c r="F33" s="187" t="n"/>
      <c r="G33" s="187" t="n"/>
      <c r="H33" s="187" t="n"/>
      <c r="I33" s="187" t="n"/>
      <c r="J33" s="187" t="n"/>
      <c r="K33" s="187" t="n"/>
    </row>
    <row r="34" ht="21.75" customHeight="1">
      <c r="B34" s="130" t="inlineStr">
        <is>
          <t>AP4</t>
        </is>
      </c>
      <c r="C34" s="22" t="inlineStr">
        <is>
          <t>Sistem penerangan TPI &amp; dermaga (LED)</t>
        </is>
      </c>
      <c r="D34" s="167" t="inlineStr">
        <is>
          <t>Daya = luas TPI × standar pencahayaan ÷ 1000</t>
        </is>
      </c>
      <c r="E34" s="29">
        <f>IF('🐟 Kalkulator Kebutuhan Listrik'!C13&gt;0,E21*E23/1000,0)</f>
        <v/>
      </c>
      <c r="F34" s="24" t="inlineStr">
        <is>
          <t>kW (terpasang)</t>
        </is>
      </c>
      <c r="G34" s="28">
        <f>E21*E23/1000</f>
        <v/>
      </c>
      <c r="H34" s="30">
        <f>IF('🐟 Kalkulator Kebutuhan Listrik'!C13&gt;0,IF('🐟 Kalkulator Kebutuhan Listrik'!F32=1,CEILING((E21*E23)/36,1),0),0)</f>
        <v/>
      </c>
      <c r="I34" s="26" t="n">
        <v>0.15</v>
      </c>
      <c r="J34" s="28">
        <f>H34*I34</f>
        <v/>
      </c>
      <c r="K34" s="31" t="inlineStr">
        <is>
          <t>Rp 0.15 juta/panel = LED panel 36W industri. Sumber: e-katalog LKPP 2024</t>
        </is>
      </c>
    </row>
    <row r="35" ht="21.75" customHeight="1">
      <c r="B35" s="130" t="inlineStr">
        <is>
          <t>AP5</t>
        </is>
      </c>
      <c r="C35" s="22" t="inlineStr">
        <is>
          <t>Timbangan listrik &amp; conveyor sortir</t>
        </is>
      </c>
      <c r="D35" s="167" t="inlineStr">
        <is>
          <t>Throughput puncak/hari = target ikan/hari operasi + target es/hari</t>
        </is>
      </c>
      <c r="E35" s="29">
        <f>('🐟 Kalkulator Kebutuhan Listrik'!C13/E6+'🐟 Kalkulator Kebutuhan Listrik'!C19)</f>
        <v/>
      </c>
      <c r="F35" s="24" t="inlineStr">
        <is>
          <t>ton/hari</t>
        </is>
      </c>
      <c r="G35" s="28">
        <f>H35*0.5</f>
        <v/>
      </c>
      <c r="H35" s="30">
        <f>IF('🐟 Kalkulator Kebutuhan Listrik'!F33=1,CEILING(('🐟 Kalkulator Kebutuhan Listrik'!C13/E6+'🐟 Kalkulator Kebutuhan Listrik'!C19)/3,1),0)</f>
        <v/>
      </c>
      <c r="I35" s="26" t="n">
        <v>10</v>
      </c>
      <c r="J35" s="28">
        <f>H35*I35</f>
        <v/>
      </c>
      <c r="K35" s="31" t="inlineStr">
        <is>
          <t>Rp 10 juta/unit = timbangan digital 500 kg industri (merek lokal). Sumber: tokopedia industrial 2024</t>
        </is>
      </c>
    </row>
    <row r="36" ht="15.75" customHeight="1">
      <c r="B36" s="166" t="inlineStr">
        <is>
          <t>── FASE 3: PENANGANAN &amp; PENDINGINAN</t>
        </is>
      </c>
      <c r="C36" s="187" t="n"/>
      <c r="D36" s="187" t="n"/>
      <c r="E36" s="187" t="n"/>
      <c r="F36" s="187" t="n"/>
      <c r="G36" s="187" t="n"/>
      <c r="H36" s="187" t="n"/>
      <c r="I36" s="187" t="n"/>
      <c r="J36" s="187" t="n"/>
      <c r="K36" s="187" t="n"/>
    </row>
    <row r="37" ht="21.75" customHeight="1">
      <c r="B37" s="130" t="inlineStr">
        <is>
          <t>AP6</t>
        </is>
      </c>
      <c r="C37" s="22" t="inlineStr">
        <is>
          <t>Mesin pembuat es (ice maker)</t>
        </is>
      </c>
      <c r="D37" s="167" t="inlineStr">
        <is>
          <t>Kapasitas = target es/hari × buffer. Unit = CEILING(kap ÷ ukuran unit, 1)</t>
        </is>
      </c>
      <c r="E37" s="29">
        <f>'🐟 Kalkulator Kebutuhan Listrik'!C19*E15</f>
        <v/>
      </c>
      <c r="F37" s="24" t="inlineStr">
        <is>
          <t>ton es/hari</t>
        </is>
      </c>
      <c r="G37" s="28">
        <f>H37*E14*100/24</f>
        <v/>
      </c>
      <c r="H37" s="30">
        <f>IF('🐟 Kalkulator Kebutuhan Listrik'!F35=1,CEILING('🐟 Kalkulator Kebutuhan Listrik'!C19*E15/E14,1),0)</f>
        <v/>
      </c>
      <c r="I37" s="26" t="n">
        <v>180</v>
      </c>
      <c r="J37" s="28">
        <f>H37*I37</f>
        <v/>
      </c>
      <c r="K37" s="31" t="inlineStr">
        <is>
          <t>Rp 180 juta/unit kapasitas 5 ton/hari (merek Asia, compressor Bitzer). Kisaran Rp 150–250 juta. Sumber: distributor ice machine Jakarta 2024</t>
        </is>
      </c>
    </row>
    <row r="38" ht="21.75" customHeight="1">
      <c r="B38" s="130" t="inlineStr">
        <is>
          <t>AP7</t>
        </is>
      </c>
      <c r="C38" s="22" t="inlineStr">
        <is>
          <t>Cold storage / ruang pendingin (-18°C)</t>
        </is>
      </c>
      <c r="D38" s="167" t="inlineStr">
        <is>
          <t>Volume = target ikan × lama simpan ÷ 365 ÷ densitas × buffer</t>
        </is>
      </c>
      <c r="E38" s="29">
        <f>CEILING('🐟 Kalkulator Kebutuhan Listrik'!C13*E16/365/E17*E18,1)</f>
        <v/>
      </c>
      <c r="F38" s="24" t="inlineStr">
        <is>
          <t>m³</t>
        </is>
      </c>
      <c r="G38" s="28">
        <f>E38*0.25</f>
        <v/>
      </c>
      <c r="H38" s="147">
        <f>IF('🐟 Kalkulator Kebutuhan Listrik'!F36=1,1,0)</f>
        <v/>
      </c>
      <c r="I38" s="26" t="n">
        <v>22</v>
      </c>
      <c r="J38" s="28">
        <f>E38*I38*H38</f>
        <v/>
      </c>
      <c r="K38" s="31" t="inlineStr">
        <is>
          <t>Rp 22 juta/m³ = cold room panel prefab + compressor Danfoss, instalasi. Kisaran Rp 18–30 juta/m³. Sumber: PT Frozen Indo, market survey 2024</t>
        </is>
      </c>
    </row>
    <row r="39" ht="21.75" customHeight="1">
      <c r="B39" s="32" t="inlineStr">
        <is>
          <t>AP8</t>
        </is>
      </c>
      <c r="C39" s="33" t="inlineStr">
        <is>
          <t>Blast freezer −35°C (opsional — ikan beku)</t>
        </is>
      </c>
      <c r="D39" s="34" t="inlineStr">
        <is>
          <t>Volume setara cold storage; aktifkan jika produk utama frozen fish</t>
        </is>
      </c>
      <c r="E39" s="35">
        <f>CEILING('🐟 Kalkulator Kebutuhan Listrik'!C13*E16/365/E17*E18,1)</f>
        <v/>
      </c>
      <c r="F39" s="36" t="inlineStr">
        <is>
          <t>m³</t>
        </is>
      </c>
      <c r="G39" s="37" t="inlineStr">
        <is>
          <t>—</t>
        </is>
      </c>
      <c r="H39" s="38">
        <f>IF('🐟 Kalkulator Kebutuhan Listrik'!F37=1,1,0)</f>
        <v/>
      </c>
      <c r="I39" s="26" t="n">
        <v>40</v>
      </c>
      <c r="J39" s="28">
        <f>E39*I39*H39</f>
        <v/>
      </c>
      <c r="K39" s="39" t="inlineStr">
        <is>
          <t>Rp 40 juta/m³ = blast freezer impor (Korea/China). Sumber: market survey 2024</t>
        </is>
      </c>
    </row>
    <row r="40" ht="15.75" customHeight="1">
      <c r="B40" s="166" t="inlineStr">
        <is>
          <t>── FASE 4: PENGOLAHAN IKAN (OPSIONAL — nilai tambah)</t>
        </is>
      </c>
      <c r="C40" s="187" t="n"/>
      <c r="D40" s="187" t="n"/>
      <c r="E40" s="187" t="n"/>
      <c r="F40" s="187" t="n"/>
      <c r="G40" s="187" t="n"/>
      <c r="H40" s="187" t="n"/>
      <c r="I40" s="187" t="n"/>
      <c r="J40" s="187" t="n"/>
      <c r="K40" s="187" t="n"/>
    </row>
    <row r="41" ht="21.75" customHeight="1">
      <c r="B41" s="32" t="inlineStr">
        <is>
          <t>AP9</t>
        </is>
      </c>
      <c r="C41" s="33" t="inlineStr">
        <is>
          <t>Mesin fillet &amp; pemotong ikan</t>
        </is>
      </c>
      <c r="D41" s="34" t="inlineStr">
        <is>
          <t>Throughput/hari = target ikan ÷ hari operasi. 1 mesin ≈ 0.5 ton/hari</t>
        </is>
      </c>
      <c r="E41" s="28">
        <f>'🐟 Kalkulator Kebutuhan Listrik'!C13/E6</f>
        <v/>
      </c>
      <c r="F41" s="36" t="inlineStr">
        <is>
          <t>ton/hari</t>
        </is>
      </c>
      <c r="G41" s="147">
        <f>IF(H41&gt;0,H41*2,0)</f>
        <v/>
      </c>
      <c r="H41" s="147">
        <f>IF('🐟 Kalkulator Kebutuhan Listrik'!F39=1,CEILING('🐟 Kalkulator Kebutuhan Listrik'!C13/E6/0.5,1),0)</f>
        <v/>
      </c>
      <c r="I41" s="26" t="n">
        <v>20</v>
      </c>
      <c r="J41" s="40">
        <f>H41*I41</f>
        <v/>
      </c>
      <c r="K41" s="39" t="inlineStr">
        <is>
          <t>Rp 20 juta/unit = mesin fillet semi-otomatis kapasitas 300–500 kg/hari. Sumber: UMKM perikanan Bitung 2023</t>
        </is>
      </c>
    </row>
    <row r="42" ht="21.75" customHeight="1">
      <c r="B42" s="32" t="inlineStr">
        <is>
          <t>AP10</t>
        </is>
      </c>
      <c r="C42" s="33" t="inlineStr">
        <is>
          <t>Mesin pengering ikan elektrik (heat pump dryer)</t>
        </is>
      </c>
      <c r="D42" s="34" t="inlineStr">
        <is>
          <t>Kapasitas per batch; 1 ton ikan segar → 0.25 ton ikan kering</t>
        </is>
      </c>
      <c r="E42" s="28">
        <f>'🐟 Kalkulator Kebutuhan Listrik'!C13/E6</f>
        <v/>
      </c>
      <c r="F42" s="36" t="inlineStr">
        <is>
          <t>ton segar/hari</t>
        </is>
      </c>
      <c r="G42" s="147">
        <f>IF(H42&gt;0,H42*3,0)</f>
        <v/>
      </c>
      <c r="H42" s="147">
        <f>IF('🐟 Kalkulator Kebutuhan Listrik'!F40=1,CEILING('🐟 Kalkulator Kebutuhan Listrik'!C13/E6/0.3,1),0)</f>
        <v/>
      </c>
      <c r="I42" s="26" t="n">
        <v>75</v>
      </c>
      <c r="J42" s="40">
        <f>H42*I42</f>
        <v/>
      </c>
      <c r="K42" s="39" t="inlineStr">
        <is>
          <t>Rp 75 juta/unit heat pump dryer kapasitas 300 kg/batch (merek lokal). Sumber: BPPT (2022)</t>
        </is>
      </c>
    </row>
    <row r="43" ht="21.75" customHeight="1">
      <c r="B43" s="32" t="inlineStr">
        <is>
          <t>AP11</t>
        </is>
      </c>
      <c r="C43" s="33" t="inlineStr">
        <is>
          <t>Mesin vakum / pengalengan</t>
        </is>
      </c>
      <c r="D43" s="34" t="inlineStr">
        <is>
          <t>1 mesin = ~100 kg/jam; throughput harian = target ikan/hari</t>
        </is>
      </c>
      <c r="E43" s="28">
        <f>'🐟 Kalkulator Kebutuhan Listrik'!C13/E6</f>
        <v/>
      </c>
      <c r="F43" s="36" t="inlineStr">
        <is>
          <t>ton/hari</t>
        </is>
      </c>
      <c r="G43" s="147">
        <f>IF(H43&gt;0,H43*0.5,0)</f>
        <v/>
      </c>
      <c r="H43" s="147">
        <f>IF('🐟 Kalkulator Kebutuhan Listrik'!F41=1,CEILING('🐟 Kalkulator Kebutuhan Listrik'!C13/E6/1,1),0)</f>
        <v/>
      </c>
      <c r="I43" s="26" t="n">
        <v>15</v>
      </c>
      <c r="J43" s="40">
        <f>H43*I43</f>
        <v/>
      </c>
      <c r="K43" s="39" t="inlineStr">
        <is>
          <t>Rp 15 juta/unit = mesin vakum sealer industri 300–500 pcs/jam. Sumber: tokopedia industrial 2024</t>
        </is>
      </c>
    </row>
    <row r="44" ht="15.75" customHeight="1">
      <c r="B44" s="166" t="inlineStr">
        <is>
          <t>── FASE 5: AIR BERSIH &amp; FASILITAS PENDUKUNG</t>
        </is>
      </c>
      <c r="C44" s="187" t="n"/>
      <c r="D44" s="187" t="n"/>
      <c r="E44" s="187" t="n"/>
      <c r="F44" s="187" t="n"/>
      <c r="G44" s="187" t="n"/>
      <c r="H44" s="187" t="n"/>
      <c r="I44" s="187" t="n"/>
      <c r="J44" s="187" t="n"/>
      <c r="K44" s="187" t="n"/>
    </row>
    <row r="45" ht="21.75" customHeight="1">
      <c r="B45" s="130" t="inlineStr">
        <is>
          <t>AP12</t>
        </is>
      </c>
      <c r="C45" s="22" t="inlineStr">
        <is>
          <t>Pompa air bersih (sentrifugal)</t>
        </is>
      </c>
      <c r="D45" s="167" t="inlineStr">
        <is>
          <t>Kebutuhan air/hari = (ikan × air/ton ÷ hari operasi) + (es/hari × air/ton es)</t>
        </is>
      </c>
      <c r="E45" s="29">
        <f>('🐟 Kalkulator Kebutuhan Listrik'!C13*E19/E6)+('🐟 Kalkulator Kebutuhan Listrik'!C19*E20)</f>
        <v/>
      </c>
      <c r="F45" s="24" t="inlineStr">
        <is>
          <t>m³/hari</t>
        </is>
      </c>
      <c r="G45" s="41">
        <f>H45*0.75</f>
        <v/>
      </c>
      <c r="H45" s="42">
        <f>IF('🐟 Kalkulator Kebutuhan Listrik'!F43=1,CEILING(('🐟 Kalkulator Kebutuhan Listrik'!C13*E19/E6+'🐟 Kalkulator Kebutuhan Listrik'!C19*E20)/8/1.5,1),0)</f>
        <v/>
      </c>
      <c r="I45" s="26" t="n">
        <v>5</v>
      </c>
      <c r="J45" s="28">
        <f>H45*I45</f>
        <v/>
      </c>
      <c r="K45" s="31" t="inlineStr">
        <is>
          <t>Rp 5 juta/unit = pompa sentrifugal 1–2 m³/jam, head 20m (merek Grundfos/CNP). Sumber: distributor pompa 2024</t>
        </is>
      </c>
    </row>
    <row r="46" ht="21.75" customHeight="1">
      <c r="B46" s="32" t="inlineStr">
        <is>
          <t>AP13</t>
        </is>
      </c>
      <c r="C46" s="33" t="inlineStr">
        <is>
          <t>Sistem aerasi kolam ikan hidup</t>
        </is>
      </c>
      <c r="D46" s="34" t="inlineStr">
        <is>
          <t>Kapasitas = volume kolam (m³); 1 unit aerator per 5 m³</t>
        </is>
      </c>
      <c r="E46" s="35">
        <f>IF('🐟 Kalkulator Kebutuhan Listrik'!C13&gt;0,20,0)</f>
        <v/>
      </c>
      <c r="F46" s="36" t="inlineStr">
        <is>
          <t>m³ kolam</t>
        </is>
      </c>
      <c r="G46" s="148">
        <f>IF(H46&gt;0,H46*0.75,0)</f>
        <v/>
      </c>
      <c r="H46" s="148">
        <f>IF('🐟 Kalkulator Kebutuhan Listrik'!F44=1,CEILING(E46/5,1),0)</f>
        <v/>
      </c>
      <c r="I46" s="26" t="n">
        <v>3</v>
      </c>
      <c r="J46" s="40">
        <f>H46*I46</f>
        <v/>
      </c>
      <c r="K46" s="39" t="inlineStr">
        <is>
          <t>Rp 3 juta/unit aerator 0.75 kW. Sumber: toko akuakultur 2024</t>
        </is>
      </c>
    </row>
    <row r="47" ht="21.75" customHeight="1">
      <c r="B47" s="130" t="inlineStr">
        <is>
          <t>AP14</t>
        </is>
      </c>
      <c r="C47" s="22" t="inlineStr">
        <is>
          <t>Sistem penerangan fasilitas pengolahan (LED)</t>
        </is>
      </c>
      <c r="D47" s="167" t="inlineStr">
        <is>
          <t>Daya = luas fasilitas × standar pencahayaan ÷ 1000</t>
        </is>
      </c>
      <c r="E47" s="29">
        <f>IF('🐟 Kalkulator Kebutuhan Listrik'!C13&gt;0,E22*E23/1000,0)</f>
        <v/>
      </c>
      <c r="F47" s="24" t="inlineStr">
        <is>
          <t>kW (terpasang)</t>
        </is>
      </c>
      <c r="G47" s="41">
        <f>E47</f>
        <v/>
      </c>
      <c r="H47" s="42">
        <f>IF('🐟 Kalkulator Kebutuhan Listrik'!C13&gt;0,IF('🐟 Kalkulator Kebutuhan Listrik'!F45=1,CEILING((E22*E23)/36,1),0),0)</f>
        <v/>
      </c>
      <c r="I47" s="26" t="n">
        <v>0.15</v>
      </c>
      <c r="J47" s="28">
        <f>H47*I47</f>
        <v/>
      </c>
      <c r="K47" s="31" t="inlineStr">
        <is>
          <t>Rp 0.15 juta/panel LED 36W industri. Sumber: e-katalog LKPP 2024</t>
        </is>
      </c>
    </row>
    <row r="48" ht="15.75" customHeight="1">
      <c r="B48" s="166" t="inlineStr">
        <is>
          <t>── FASE 6: DISTRIBUSI &amp; PENJUALAN</t>
        </is>
      </c>
      <c r="C48" s="187" t="n"/>
      <c r="D48" s="187" t="n"/>
      <c r="E48" s="187" t="n"/>
      <c r="F48" s="187" t="n"/>
      <c r="G48" s="187" t="n"/>
      <c r="H48" s="187" t="n"/>
      <c r="I48" s="187" t="n"/>
      <c r="J48" s="187" t="n"/>
      <c r="K48" s="187" t="n"/>
    </row>
    <row r="49" ht="21.75" customHeight="1">
      <c r="B49" s="32" t="inlineStr">
        <is>
          <t>AP15</t>
        </is>
      </c>
      <c r="C49" s="33" t="inlineStr">
        <is>
          <t>Kendaraan distribusi berpendingin (EV)</t>
        </is>
      </c>
      <c r="D49" s="34" t="inlineStr">
        <is>
          <t>1 kendaraan per ~3 ton/hari distribusi; kapasitas 1 ton/kendaraan</t>
        </is>
      </c>
      <c r="E49" s="28">
        <f>CEILING('🐟 Kalkulator Kebutuhan Listrik'!C19/3,1)</f>
        <v/>
      </c>
      <c r="F49" s="36" t="inlineStr">
        <is>
          <t>unit kendaraan</t>
        </is>
      </c>
      <c r="G49" s="37" t="inlineStr">
        <is>
          <t>—</t>
        </is>
      </c>
      <c r="H49" s="147">
        <f>CEILING('🐟 Kalkulator Kebutuhan Listrik'!C19/3,1)</f>
        <v/>
      </c>
      <c r="I49" s="26" t="n">
        <v>350</v>
      </c>
      <c r="J49" s="40">
        <f>IF('🐟 Kalkulator Kebutuhan Listrik'!F47=1,H49*I49,0)</f>
        <v/>
      </c>
      <c r="K49" s="39" t="inlineStr">
        <is>
          <t>Rp 350 juta/unit EV pikap berpendingin (Rp 250–400 juta). Sumber: DFSK/Wuling distribusi 2024</t>
        </is>
      </c>
    </row>
    <row r="50" ht="21.75" customHeight="1">
      <c r="B50" s="32" t="inlineStr">
        <is>
          <t>AP16</t>
        </is>
      </c>
      <c r="C50" s="33" t="inlineStr">
        <is>
          <t>Display chiller kios / pasar (showcase)</t>
        </is>
      </c>
      <c r="D50" s="34" t="inlineStr">
        <is>
          <t>1 unit per kios penjualan; default 2 kios</t>
        </is>
      </c>
      <c r="E50" s="28">
        <f>IF('🐟 Kalkulator Kebutuhan Listrik'!C13&gt;0,2,0)</f>
        <v/>
      </c>
      <c r="F50" s="36" t="inlineStr">
        <is>
          <t>unit</t>
        </is>
      </c>
      <c r="G50" s="37" t="inlineStr">
        <is>
          <t>—</t>
        </is>
      </c>
      <c r="H50" s="147">
        <f>IF('🐟 Kalkulator Kebutuhan Listrik'!F48=1,2,0)</f>
        <v/>
      </c>
      <c r="I50" s="26" t="n">
        <v>8</v>
      </c>
      <c r="J50" s="40">
        <f>H50*I50</f>
        <v/>
      </c>
      <c r="K50" s="39" t="inlineStr">
        <is>
          <t>Rp 8 juta/unit = display chiller showcase 300L (merek GEA/Hisense). Sumber: toko peralatan resto 2024</t>
        </is>
      </c>
    </row>
    <row r="51"/>
    <row r="52" ht="18" customHeight="1">
      <c r="B52" s="154" t="inlineStr">
        <is>
          <t>C.  SUBTOTAL INVESTASI PERALATAN PRODUKSI</t>
        </is>
      </c>
      <c r="C52" s="183" t="n"/>
      <c r="D52" s="183" t="n"/>
      <c r="E52" s="183" t="n"/>
      <c r="F52" s="183" t="n"/>
      <c r="G52" s="183" t="n"/>
      <c r="H52" s="183" t="n"/>
      <c r="I52" s="183" t="n"/>
      <c r="J52" s="183" t="n"/>
      <c r="K52" s="183" t="n"/>
    </row>
    <row r="53" ht="18" customHeight="1">
      <c r="B53" s="164" t="inlineStr">
        <is>
          <t>Total investasi semua peralatan wajib aktif (Rp juta)</t>
        </is>
      </c>
      <c r="C53" s="187" t="n"/>
      <c r="D53" s="187" t="n"/>
      <c r="E53" s="187" t="n"/>
      <c r="F53" s="187" t="n"/>
      <c r="G53" s="187" t="n"/>
      <c r="H53" s="187" t="n"/>
      <c r="I53" s="187" t="n"/>
      <c r="J53" s="28">
        <f>J30+J34+J35+J37+J38+J45+J47</f>
        <v/>
      </c>
      <c r="K53" s="43" t="n"/>
    </row>
    <row r="54" ht="18" customHeight="1">
      <c r="B54" s="164" t="inlineStr">
        <is>
          <t>Total investasi peralatan opsional aktif (Rp juta)</t>
        </is>
      </c>
      <c r="C54" s="187" t="n"/>
      <c r="D54" s="187" t="n"/>
      <c r="E54" s="187" t="n"/>
      <c r="F54" s="187" t="n"/>
      <c r="G54" s="187" t="n"/>
      <c r="H54" s="187" t="n"/>
      <c r="I54" s="187" t="n"/>
      <c r="J54" s="28">
        <f>J31+J32+J39+J41+J42+J43+J46+J49+J50</f>
        <v/>
      </c>
      <c r="K54" s="43" t="n"/>
    </row>
    <row r="55" ht="18" customHeight="1">
      <c r="B55" s="165" t="inlineStr">
        <is>
          <t>TOTAL INVESTASI SELURUH PERALATAN ASET PRODUKSI (Rp juta)</t>
        </is>
      </c>
      <c r="C55" s="187" t="n"/>
      <c r="D55" s="187" t="n"/>
      <c r="E55" s="187" t="n"/>
      <c r="F55" s="187" t="n"/>
      <c r="G55" s="187" t="n"/>
      <c r="H55" s="187" t="n"/>
      <c r="I55" s="187" t="n"/>
      <c r="J55" s="128">
        <f>SUM(J53:J54)</f>
        <v/>
      </c>
      <c r="K55" s="126" t="n"/>
    </row>
    <row r="56"/>
    <row r="57" ht="18" customHeight="1">
      <c r="B57" s="154" t="inlineStr">
        <is>
          <t>D.  INVESTASI SISTEM PLTS (Photovoltaic + BESS + Distribusi + EPC)</t>
        </is>
      </c>
      <c r="C57" s="183" t="n"/>
      <c r="D57" s="183" t="n"/>
      <c r="E57" s="183" t="n"/>
      <c r="F57" s="183" t="n"/>
      <c r="G57" s="183" t="n"/>
      <c r="H57" s="183" t="n"/>
      <c r="I57" s="183" t="n"/>
      <c r="J57" s="183" t="n"/>
      <c r="K57" s="183" t="n"/>
    </row>
    <row r="58" ht="39.75" customHeight="1">
      <c r="B58" s="20" t="inlineStr">
        <is>
          <t>—</t>
        </is>
      </c>
      <c r="C58" s="20" t="inlineStr">
        <is>
          <t>Komponen PLTS</t>
        </is>
      </c>
      <c r="D58" s="20" t="inlineStr">
        <is>
          <t>Basis Perhitungan</t>
        </is>
      </c>
      <c r="E58" s="20" t="inlineStr">
        <is>
          <t>Kapasitas 🟩</t>
        </is>
      </c>
      <c r="F58" s="20" t="inlineStr">
        <is>
          <t>Unit</t>
        </is>
      </c>
      <c r="G58" s="20" t="inlineStr">
        <is>
          <t>Harga Satuan
(Rp juta) 🟨</t>
        </is>
      </c>
      <c r="H58" s="20" t="inlineStr">
        <is>
          <t>—</t>
        </is>
      </c>
      <c r="I58" s="20" t="inlineStr">
        <is>
          <t>—</t>
        </is>
      </c>
      <c r="J58" s="20" t="inlineStr">
        <is>
          <t>Total (Rp juta) 🟩</t>
        </is>
      </c>
      <c r="K58" s="20" t="inlineStr">
        <is>
          <t>Sumber &amp; Catatan</t>
        </is>
      </c>
    </row>
    <row r="59" ht="19.5" customHeight="1">
      <c r="B59" s="43" t="n"/>
      <c r="C59" s="44" t="inlineStr">
        <is>
          <t>Panel surya PLTS (modul PV)</t>
        </is>
      </c>
      <c r="D59" s="167" t="inlineStr">
        <is>
          <t>Dari 🐟 Kalkulator → kWp</t>
        </is>
      </c>
      <c r="E59" s="29">
        <f>'🐟 Kalkulator Kebutuhan Listrik'!D60</f>
        <v/>
      </c>
      <c r="F59" s="24" t="inlineStr">
        <is>
          <t>kWp</t>
        </is>
      </c>
      <c r="G59" s="26" t="n">
        <v>5.5</v>
      </c>
      <c r="H59" s="23" t="n"/>
      <c r="I59" s="23" t="n"/>
      <c r="J59" s="28">
        <f>E59*G59</f>
        <v/>
      </c>
      <c r="K59" s="167" t="inlineStr">
        <is>
          <t>Rp 5.5 juta/kWp hanya modul (tier-1 mono PERC 450Wp). Sumber: ESDM tender 2024, PT Len</t>
        </is>
      </c>
    </row>
    <row r="60" ht="19.5" customHeight="1">
      <c r="B60" s="43" t="n"/>
      <c r="C60" s="44" t="inlineStr">
        <is>
          <t>Inverter string / on-grid</t>
        </is>
      </c>
      <c r="D60" s="167" t="inlineStr">
        <is>
          <t>Dari 🐟 Kalkulator → kWp</t>
        </is>
      </c>
      <c r="E60" s="29">
        <f>'🐟 Kalkulator Kebutuhan Listrik'!D60</f>
        <v/>
      </c>
      <c r="F60" s="24" t="inlineStr">
        <is>
          <t>kWp</t>
        </is>
      </c>
      <c r="G60" s="26" t="n">
        <v>1.8</v>
      </c>
      <c r="H60" s="23" t="n"/>
      <c r="I60" s="23" t="n"/>
      <c r="J60" s="28">
        <f>E60*G60</f>
        <v/>
      </c>
      <c r="K60" s="167" t="inlineStr">
        <is>
          <t>Rp 1.8 juta/kWp inverter string (Huawei/SMA). Sumber: distributor PV 2024</t>
        </is>
      </c>
    </row>
    <row r="61" ht="19.5" customHeight="1">
      <c r="B61" s="43" t="n"/>
      <c r="C61" s="44" t="inlineStr">
        <is>
          <t>Mounting &amp; struktur</t>
        </is>
      </c>
      <c r="D61" s="167" t="inlineStr">
        <is>
          <t>Dari 🐟 Kalkulator → kWp</t>
        </is>
      </c>
      <c r="E61" s="29">
        <f>'🐟 Kalkulator Kebutuhan Listrik'!D60</f>
        <v/>
      </c>
      <c r="F61" s="24" t="inlineStr">
        <is>
          <t>kWp</t>
        </is>
      </c>
      <c r="G61" s="26" t="n">
        <v>0.8</v>
      </c>
      <c r="H61" s="23" t="n"/>
      <c r="I61" s="23" t="n"/>
      <c r="J61" s="28">
        <f>E61*G61</f>
        <v/>
      </c>
      <c r="K61" s="167" t="inlineStr">
        <is>
          <t>Rp 0.8 juta/kWp mounting galvanis + ballast (atap/ground). Sumber: kontraktor EPC 2024</t>
        </is>
      </c>
    </row>
    <row r="62" ht="19.5" customHeight="1">
      <c r="B62" s="43" t="n"/>
      <c r="C62" s="44" t="inlineStr">
        <is>
          <t>Kabel &amp; proteksi (BOS)</t>
        </is>
      </c>
      <c r="D62" s="167" t="inlineStr">
        <is>
          <t>Dari 🐟 Kalkulator → kWp</t>
        </is>
      </c>
      <c r="E62" s="29">
        <f>'🐟 Kalkulator Kebutuhan Listrik'!D60</f>
        <v/>
      </c>
      <c r="F62" s="24" t="inlineStr">
        <is>
          <t>kWp</t>
        </is>
      </c>
      <c r="G62" s="26" t="n">
        <v>0.5</v>
      </c>
      <c r="H62" s="23" t="n"/>
      <c r="I62" s="23" t="n"/>
      <c r="J62" s="28">
        <f>E62*G62</f>
        <v/>
      </c>
      <c r="K62" s="167" t="inlineStr">
        <is>
          <t>Rp 0.5 juta/kWp kabel DC/AC + combiner box + arrester + panel. Sumber: BOS benchmark 10%</t>
        </is>
      </c>
    </row>
    <row r="63" ht="19.5" customHeight="1">
      <c r="B63" s="43" t="n"/>
      <c r="C63" s="44" t="inlineStr">
        <is>
          <t>BESS — baterai LFP</t>
        </is>
      </c>
      <c r="D63" s="167" t="inlineStr">
        <is>
          <t>Dari 🐟 Kalkulator → kWh</t>
        </is>
      </c>
      <c r="E63" s="29">
        <f>'🐟 Kalkulator Kebutuhan Listrik'!D61</f>
        <v/>
      </c>
      <c r="F63" s="24" t="inlineStr">
        <is>
          <t>kWh</t>
        </is>
      </c>
      <c r="G63" s="26" t="n">
        <v>3.5</v>
      </c>
      <c r="H63" s="23" t="n"/>
      <c r="I63" s="23" t="n"/>
      <c r="J63" s="28">
        <f>E63*G63</f>
        <v/>
      </c>
      <c r="K63" s="167" t="inlineStr">
        <is>
          <t>Rp 3.5 juta/kWh baterai LFP (CATL/BYD prismatic). Kisaran Rp 3–5 juta/kWh. Sumber: IESR (2024)</t>
        </is>
      </c>
    </row>
    <row r="64" ht="19.5" customHeight="1">
      <c r="B64" s="43" t="n"/>
      <c r="C64" s="44" t="inlineStr">
        <is>
          <t>BESS — BMS, inverter, rack, instalasi</t>
        </is>
      </c>
      <c r="D64" s="167" t="inlineStr">
        <is>
          <t>Dari 🐟 Kalkulator → kWh</t>
        </is>
      </c>
      <c r="E64" s="29">
        <f>'🐟 Kalkulator Kebutuhan Listrik'!D61</f>
        <v/>
      </c>
      <c r="F64" s="24" t="inlineStr">
        <is>
          <t>kWh</t>
        </is>
      </c>
      <c r="G64" s="26" t="n">
        <v>1</v>
      </c>
      <c r="H64" s="23" t="n"/>
      <c r="I64" s="23" t="n"/>
      <c r="J64" s="28">
        <f>E64*G64</f>
        <v/>
      </c>
      <c r="K64" s="167" t="inlineStr">
        <is>
          <t>Rp 1 juta/kWh sistem manajemen + integrasi. ~25–30% dari biaya baterai</t>
        </is>
      </c>
    </row>
    <row r="65" ht="19.5" customHeight="1">
      <c r="B65" s="43" t="n"/>
      <c r="C65" s="44" t="inlineStr">
        <is>
          <t>Jaringan distribusi ke pengguna</t>
        </is>
      </c>
      <c r="D65" s="167" t="inlineStr">
        <is>
          <t>Dari 🐟 Kalkulator → KK</t>
        </is>
      </c>
      <c r="E65" s="29">
        <f>'🐟 Kalkulator Kebutuhan Listrik'!C6</f>
        <v/>
      </c>
      <c r="F65" s="24" t="inlineStr">
        <is>
          <t>KK</t>
        </is>
      </c>
      <c r="G65" s="26" t="n">
        <v>6</v>
      </c>
      <c r="H65" s="23" t="n"/>
      <c r="I65" s="23" t="n"/>
      <c r="J65" s="28">
        <f>E65*G65</f>
        <v/>
      </c>
      <c r="K65" s="167" t="inlineStr">
        <is>
          <t>Rp 6 juta/KK jaringan LV (kabel SR + tiang + MCB). Sumber: PLN distribusi benchmark 2023</t>
        </is>
      </c>
    </row>
    <row r="66" ht="19.5" customHeight="1">
      <c r="B66" s="43" t="n"/>
      <c r="C66" s="44" t="inlineStr">
        <is>
          <t>EPC &amp; instalasi (jasa)</t>
        </is>
      </c>
      <c r="D66" s="167" t="inlineStr">
        <is>
          <t>Dihitung dari biaya hardware PLTS</t>
        </is>
      </c>
      <c r="E66" s="28">
        <f>('🐟 Kalkulator Kebutuhan Listrik'!D60*5.5+'🐟 Kalkulator Kebutuhan Listrik'!D60*1.8+'🐟 Kalkulator Kebutuhan Listrik'!D60*0.8+'🐟 Kalkulator Kebutuhan Listrik'!D60*0.5)*0.12</f>
        <v/>
      </c>
      <c r="F66" s="24" t="inlineStr">
        <is>
          <t>—</t>
        </is>
      </c>
      <c r="G66" s="26" t="n">
        <v>1</v>
      </c>
      <c r="H66" s="23" t="n"/>
      <c r="I66" s="23" t="n"/>
      <c r="J66" s="28">
        <f>E66*G66</f>
        <v/>
      </c>
      <c r="K66" s="167" t="inlineStr">
        <is>
          <t>12% dari biaya hardware PLTS+inverter+mounting+BOS sebagai biaya EPC. Sumber: IESR rule-of-thumb</t>
        </is>
      </c>
    </row>
    <row r="67" ht="19.5" customHeight="1">
      <c r="B67" s="43" t="n"/>
      <c r="C67" s="44" t="inlineStr">
        <is>
          <t>Commissioning &amp; pelatihan O&amp;M</t>
        </is>
      </c>
      <c r="D67" s="167" t="inlineStr">
        <is>
          <t>Dihitung dari biaya hardware PLTS</t>
        </is>
      </c>
      <c r="E67" s="30" t="n">
        <v>1</v>
      </c>
      <c r="F67" s="24" t="inlineStr">
        <is>
          <t>lump sum</t>
        </is>
      </c>
      <c r="G67" s="26" t="n">
        <v>50</v>
      </c>
      <c r="H67" s="23" t="n"/>
      <c r="I67" s="23" t="n"/>
      <c r="J67" s="28">
        <f>G67</f>
        <v/>
      </c>
      <c r="K67" s="167" t="inlineStr">
        <is>
          <t>Rp 50 juta lump sum = commissioning + pelatihan teknisi KDKMP (3 hari). Sumber: expert estimate</t>
        </is>
      </c>
    </row>
    <row r="68"/>
    <row r="69" ht="18" customHeight="1">
      <c r="B69" s="161" t="inlineStr">
        <is>
          <t>Subtotal PLTS + Inverter + Mounting + BOS (Rp juta)</t>
        </is>
      </c>
      <c r="C69" s="187" t="n"/>
      <c r="D69" s="187" t="n"/>
      <c r="E69" s="187" t="n"/>
      <c r="F69" s="187" t="n"/>
      <c r="G69" s="187" t="n"/>
      <c r="H69" s="187" t="n"/>
      <c r="I69" s="187" t="n"/>
      <c r="J69" s="28">
        <f>J59+J60+J61+J62</f>
        <v/>
      </c>
      <c r="K69" s="43" t="n"/>
    </row>
    <row r="70" ht="18" customHeight="1">
      <c r="B70" s="161" t="inlineStr">
        <is>
          <t>Subtotal BESS (Rp juta)</t>
        </is>
      </c>
      <c r="C70" s="187" t="n"/>
      <c r="D70" s="187" t="n"/>
      <c r="E70" s="187" t="n"/>
      <c r="F70" s="187" t="n"/>
      <c r="G70" s="187" t="n"/>
      <c r="H70" s="187" t="n"/>
      <c r="I70" s="187" t="n"/>
      <c r="J70" s="28">
        <f>J63+J64</f>
        <v/>
      </c>
      <c r="K70" s="43" t="n"/>
    </row>
    <row r="71" ht="18" customHeight="1">
      <c r="B71" s="161" t="inlineStr">
        <is>
          <t>Subtotal Distribusi + EPC + Commissioning (Rp juta)</t>
        </is>
      </c>
      <c r="C71" s="187" t="n"/>
      <c r="D71" s="187" t="n"/>
      <c r="E71" s="187" t="n"/>
      <c r="F71" s="187" t="n"/>
      <c r="G71" s="187" t="n"/>
      <c r="H71" s="187" t="n"/>
      <c r="I71" s="187" t="n"/>
      <c r="J71" s="28">
        <f>J65+J66+J67</f>
        <v/>
      </c>
      <c r="K71" s="43" t="n"/>
    </row>
    <row r="72" ht="18" customHeight="1">
      <c r="B72" s="162" t="inlineStr">
        <is>
          <t>TOTAL INVESTASI SISTEM PLTS (Rp juta)</t>
        </is>
      </c>
      <c r="C72" s="187" t="n"/>
      <c r="D72" s="187" t="n"/>
      <c r="E72" s="187" t="n"/>
      <c r="F72" s="187" t="n"/>
      <c r="G72" s="187" t="n"/>
      <c r="H72" s="187" t="n"/>
      <c r="I72" s="187" t="n"/>
      <c r="J72" s="45">
        <f>SUM(J69:J71)</f>
        <v/>
      </c>
      <c r="K72" s="46" t="n"/>
    </row>
    <row r="73"/>
    <row r="74" ht="19.5" customHeight="1">
      <c r="B74" s="163" t="inlineStr">
        <is>
          <t>E.  RINGKASAN TOTAL KEBUTUHAN INVESTASI</t>
        </is>
      </c>
      <c r="C74" s="183" t="n"/>
      <c r="D74" s="183" t="n"/>
      <c r="E74" s="183" t="n"/>
      <c r="F74" s="183" t="n"/>
      <c r="G74" s="183" t="n"/>
      <c r="H74" s="183" t="n"/>
      <c r="I74" s="183" t="n"/>
      <c r="J74" s="183" t="n"/>
      <c r="K74" s="183" t="n"/>
    </row>
    <row r="75" ht="19.5" customHeight="1">
      <c r="B75" s="158" t="inlineStr">
        <is>
          <t>Total investasi peralatan produksi (hanya AP aktif)</t>
        </is>
      </c>
      <c r="C75" s="187" t="n"/>
      <c r="D75" s="187" t="n"/>
      <c r="E75" s="187" t="n"/>
      <c r="F75" s="187" t="n"/>
      <c r="G75" s="187" t="n"/>
      <c r="H75" s="187" t="n"/>
      <c r="I75" s="187" t="n"/>
      <c r="J75" s="28">
        <f>J55</f>
        <v/>
      </c>
      <c r="K75" s="43" t="n"/>
    </row>
    <row r="76" ht="19.5" customHeight="1">
      <c r="B76" s="158" t="inlineStr">
        <is>
          <t>Total investasi sistem PLTS + BESS + Distribusi</t>
        </is>
      </c>
      <c r="C76" s="187" t="n"/>
      <c r="D76" s="187" t="n"/>
      <c r="E76" s="187" t="n"/>
      <c r="F76" s="187" t="n"/>
      <c r="G76" s="187" t="n"/>
      <c r="H76" s="187" t="n"/>
      <c r="I76" s="187" t="n"/>
      <c r="J76" s="28">
        <f>J72</f>
        <v/>
      </c>
      <c r="K76" s="43" t="n"/>
    </row>
    <row r="77" ht="19.5" customHeight="1">
      <c r="B77" s="159" t="inlineStr">
        <is>
          <t>TOTAL KEBUTUHAN INVESTASI (Rp juta)</t>
        </is>
      </c>
      <c r="C77" s="187" t="n"/>
      <c r="D77" s="187" t="n"/>
      <c r="E77" s="187" t="n"/>
      <c r="F77" s="187" t="n"/>
      <c r="G77" s="187" t="n"/>
      <c r="H77" s="187" t="n"/>
      <c r="I77" s="187" t="n"/>
      <c r="J77" s="47">
        <f>J75+J76</f>
        <v/>
      </c>
      <c r="K77" s="48" t="n"/>
    </row>
    <row r="78" ht="19.5" customHeight="1">
      <c r="B78" s="160" t="inlineStr">
        <is>
          <t xml:space="preserve">  dalam Rp miliar</t>
        </is>
      </c>
      <c r="C78" s="187" t="n"/>
      <c r="D78" s="187" t="n"/>
      <c r="E78" s="187" t="n"/>
      <c r="F78" s="187" t="n"/>
      <c r="G78" s="187" t="n"/>
      <c r="H78" s="187" t="n"/>
      <c r="I78" s="187" t="n"/>
      <c r="J78" s="49">
        <f>J77/1000</f>
        <v/>
      </c>
      <c r="K78" s="23" t="n"/>
    </row>
  </sheetData>
  <mergeCells count="44">
    <mergeCell ref="G21:K21"/>
    <mergeCell ref="B75:I75"/>
    <mergeCell ref="G12:K12"/>
    <mergeCell ref="B40:K40"/>
    <mergeCell ref="B54:I54"/>
    <mergeCell ref="B74:K74"/>
    <mergeCell ref="B72:I72"/>
    <mergeCell ref="G11:K11"/>
    <mergeCell ref="G23:K23"/>
    <mergeCell ref="B33:K33"/>
    <mergeCell ref="A1:K1"/>
    <mergeCell ref="G8:K8"/>
    <mergeCell ref="B71:I71"/>
    <mergeCell ref="B36:K36"/>
    <mergeCell ref="G17:K17"/>
    <mergeCell ref="B70:I70"/>
    <mergeCell ref="G7:K7"/>
    <mergeCell ref="B4:K4"/>
    <mergeCell ref="B77:I77"/>
    <mergeCell ref="G10:K10"/>
    <mergeCell ref="G13:K13"/>
    <mergeCell ref="G19:K19"/>
    <mergeCell ref="G6:K6"/>
    <mergeCell ref="G18:K18"/>
    <mergeCell ref="B53:I53"/>
    <mergeCell ref="B78:I78"/>
    <mergeCell ref="G15:K15"/>
    <mergeCell ref="B69:I69"/>
    <mergeCell ref="B27:K27"/>
    <mergeCell ref="G24:K24"/>
    <mergeCell ref="B52:K52"/>
    <mergeCell ref="G14:K14"/>
    <mergeCell ref="G5:K5"/>
    <mergeCell ref="B2:K2"/>
    <mergeCell ref="B48:K48"/>
    <mergeCell ref="B57:K57"/>
    <mergeCell ref="G20:K20"/>
    <mergeCell ref="B55:I55"/>
    <mergeCell ref="G16:K16"/>
    <mergeCell ref="B44:K44"/>
    <mergeCell ref="B29:K29"/>
    <mergeCell ref="B76:I76"/>
    <mergeCell ref="G22:K22"/>
    <mergeCell ref="G9:K9"/>
  </mergeCell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V133"/>
  <sheetViews>
    <sheetView zoomScale="90" zoomScaleNormal="90" workbookViewId="0">
      <selection activeCell="H17" sqref="H17"/>
    </sheetView>
  </sheetViews>
  <sheetFormatPr baseColWidth="8" defaultColWidth="8.5703125" defaultRowHeight="14.45"/>
  <cols>
    <col width="3" customWidth="1" min="1" max="1"/>
    <col width="47.42578125" customWidth="1" min="2" max="2"/>
    <col width="18" customWidth="1" min="3" max="5"/>
    <col width="21.7109375" customWidth="1" min="6" max="6"/>
    <col width="18" customWidth="1" min="7" max="7"/>
    <col width="16" customWidth="1" min="8" max="10"/>
    <col width="42" customWidth="1" min="11" max="11"/>
    <col width="7.42578125" customWidth="1" min="12" max="22"/>
  </cols>
  <sheetData>
    <row r="1" ht="21.75" customHeight="1" thickBot="1">
      <c r="A1" s="181" t="inlineStr">
        <is>
          <t>REVENUE CALCULATOR FOR EACH BUSINESS MODEL</t>
        </is>
      </c>
    </row>
    <row r="2" ht="14.45" customHeight="1" thickBot="1">
      <c r="A2" s="190" t="inlineStr">
        <is>
          <t>Teks biru = INPUT — ubah sesuai kondisi lapangan   |   Teks hitam = Kalkulasi otomatis atau link dari sheet lain</t>
        </is>
      </c>
      <c r="B2" s="183" t="n"/>
      <c r="C2" s="183" t="n"/>
      <c r="D2" s="183" t="n"/>
      <c r="E2" s="183" t="n"/>
      <c r="F2" s="191" t="n"/>
    </row>
    <row r="3" ht="18" customHeight="1"/>
    <row r="4" ht="18" customHeight="1">
      <c r="A4" s="178" t="inlineStr">
        <is>
          <t>A.  KDKMP Revenue from Electricity Sales</t>
        </is>
      </c>
      <c r="B4" s="192" t="n"/>
      <c r="C4" s="192" t="n"/>
      <c r="D4" s="192" t="n"/>
      <c r="E4" s="192" t="n"/>
      <c r="F4" s="192" t="n"/>
    </row>
    <row r="5" ht="33" customHeight="1">
      <c r="A5" s="50" t="inlineStr">
        <is>
          <t>-</t>
        </is>
      </c>
      <c r="B5" s="50" t="inlineStr">
        <is>
          <t>Parameter</t>
        </is>
      </c>
      <c r="C5" s="50" t="inlineStr">
        <is>
          <t>Model 1
(3rd Party IPP)</t>
        </is>
      </c>
      <c r="D5" s="50" t="inlineStr">
        <is>
          <t>Model 2
(KDKMP owns PLTS)</t>
        </is>
      </c>
      <c r="E5" s="50" t="inlineStr">
        <is>
          <t>Model 3
(KDKMP owns PLTS and Productive Assets)</t>
        </is>
      </c>
      <c r="F5" s="50" t="inlineStr">
        <is>
          <t>Notes</t>
        </is>
      </c>
    </row>
    <row r="6" ht="18" customHeight="1">
      <c r="A6" s="51" t="inlineStr">
        <is>
          <t>-</t>
        </is>
      </c>
      <c r="B6" s="52" t="inlineStr">
        <is>
          <t>Tariff charged to members (Rp/kWh)</t>
        </is>
      </c>
      <c r="C6" s="118" t="n">
        <v>2000</v>
      </c>
      <c r="D6" s="53" t="n">
        <v>0</v>
      </c>
      <c r="E6" s="122" t="n">
        <v>2000</v>
      </c>
      <c r="F6" s="54" t="inlineStr">
        <is>
          <t>Rp/kWh  |  Set below PLN urban tariff to be competitive; survey members' WTP</t>
        </is>
      </c>
    </row>
    <row r="7" ht="18" customHeight="1">
      <c r="A7" s="51" t="inlineStr">
        <is>
          <t>-</t>
        </is>
      </c>
      <c r="B7" s="52" t="inlineStr">
        <is>
          <t>Tariff paid to IPP (Rp/kWh)</t>
        </is>
      </c>
      <c r="C7" s="118" t="n">
        <v>1300</v>
      </c>
      <c r="D7" s="53" t="n">
        <v>0</v>
      </c>
      <c r="E7" s="55" t="n">
        <v>0</v>
      </c>
      <c r="F7" s="54" t="inlineStr">
        <is>
          <t>Rp/kWh  |  Negotiate with IPP; must give IPP ≥12% IRR on their investment, only for Model 1</t>
        </is>
      </c>
    </row>
    <row r="8" ht="18" customHeight="1">
      <c r="A8" s="51" t="inlineStr">
        <is>
          <t>-</t>
        </is>
      </c>
      <c r="B8" s="52" t="inlineStr">
        <is>
          <t>PLN PJBL tariff (Rp/kWh)</t>
        </is>
      </c>
      <c r="C8" s="56" t="n">
        <v>0</v>
      </c>
      <c r="D8" s="120" t="n">
        <v>2000</v>
      </c>
      <c r="E8" s="55" t="n">
        <v>0</v>
      </c>
      <c r="F8" s="54" t="inlineStr">
        <is>
          <t>Rp/kWh  |  Verify against PLN regional BPP; current policy approx. Rp 800-1200</t>
        </is>
      </c>
    </row>
    <row r="9" ht="18" customHeight="1">
      <c r="A9" s="51" t="inlineStr">
        <is>
          <t>-</t>
        </is>
      </c>
      <c r="B9" s="52" t="inlineStr">
        <is>
          <t>PLN tariff to end users (Rp/kWh)</t>
        </is>
      </c>
      <c r="C9" s="56" t="n">
        <v>0</v>
      </c>
      <c r="D9" s="121" t="n">
        <v>500</v>
      </c>
      <c r="E9" s="55" t="n">
        <v>0</v>
      </c>
      <c r="F9" s="54" t="inlineStr">
        <is>
          <t>Rp/kWh  |  Subsidised household R1 tariff; from PLN tariff schedule</t>
        </is>
      </c>
    </row>
    <row r="10" ht="18" customHeight="1">
      <c r="A10" s="51" t="inlineStr">
        <is>
          <t>-</t>
        </is>
      </c>
      <c r="B10" s="52" t="inlineStr">
        <is>
          <t>PLN profit margin</t>
        </is>
      </c>
      <c r="C10" s="137" t="n">
        <v>0.07000000000000001</v>
      </c>
      <c r="D10" s="138" t="n">
        <v>0.07000000000000001</v>
      </c>
      <c r="E10" s="139" t="n">
        <v>0.07000000000000001</v>
      </c>
      <c r="F10" s="54" t="inlineStr">
        <is>
          <t>assumption, in %</t>
        </is>
      </c>
    </row>
    <row r="11" ht="18" customHeight="1">
      <c r="A11" s="51" t="inlineStr">
        <is>
          <t>-</t>
        </is>
      </c>
      <c r="B11" s="52" t="inlineStr">
        <is>
          <t>Govt subsidy to PLN (Rp/kWh)</t>
        </is>
      </c>
      <c r="C11" s="143">
        <f>(C8*(1+C10))-C9</f>
        <v/>
      </c>
      <c r="D11" s="57">
        <f>(D8*(1+D10))-D9</f>
        <v/>
      </c>
      <c r="E11" s="142">
        <f>(E8*(1+E10))-E9</f>
        <v/>
      </c>
      <c r="F11" s="54" t="inlineStr">
        <is>
          <t>Rp/kWh  ← CALCULATED  (PJBL tariff – PLN end-user tariff)</t>
        </is>
      </c>
    </row>
    <row r="12" ht="18" customHeight="1">
      <c r="A12" s="51" t="inlineStr">
        <is>
          <t>-</t>
        </is>
      </c>
      <c r="B12" s="52" t="inlineStr">
        <is>
          <t>Collection efficiency</t>
        </is>
      </c>
      <c r="C12" s="118" t="n">
        <v>0.88</v>
      </c>
      <c r="D12" s="121" t="n">
        <v>0.88</v>
      </c>
      <c r="E12" s="122" t="n">
        <v>0.88</v>
      </c>
      <c r="F12" s="54" t="inlineStr">
        <is>
          <t>ratio  |  % of billed kWh actually collected (default loss for payment gaps)</t>
        </is>
      </c>
    </row>
    <row r="13" ht="18" customHeight="1">
      <c r="A13" s="51" t="inlineStr">
        <is>
          <t>-</t>
        </is>
      </c>
      <c r="B13" s="52" t="inlineStr">
        <is>
          <t>KDKMP revenue (Rp/kWh)</t>
        </is>
      </c>
      <c r="C13" s="58">
        <f>C6-C7</f>
        <v/>
      </c>
      <c r="D13" s="59">
        <f>D8</f>
        <v/>
      </c>
      <c r="E13" s="60">
        <f>E6-E7</f>
        <v/>
      </c>
      <c r="F13" s="54" t="inlineStr">
        <is>
          <t>Rp/kWh  ← CALCULATED  (tariff charged – tariff to IPP)</t>
        </is>
      </c>
    </row>
    <row r="14" ht="18" customHeight="1">
      <c r="A14" s="51" t="inlineStr">
        <is>
          <t>-</t>
        </is>
      </c>
      <c r="B14" s="52" t="inlineStr">
        <is>
          <t>Annual kWh sold to members</t>
        </is>
      </c>
      <c r="C14" s="58">
        <f>'🐟 Kalkulator Kebutuhan Listrik'!D57+'🐟 Kalkulator Kebutuhan Listrik'!D58</f>
        <v/>
      </c>
      <c r="D14" s="59">
        <f>'🐟 Kalkulator Kebutuhan Listrik'!D57+'🐟 Kalkulator Kebutuhan Listrik'!D58</f>
        <v/>
      </c>
      <c r="E14" s="60">
        <f>'🐟 Kalkulator Kebutuhan Listrik'!D58</f>
        <v/>
      </c>
      <c r="F14" s="54" t="inlineStr">
        <is>
          <t>kWh/yr  ← LINKED from Kalkulator Desa Perikanan, Model 3 does not sell kWh for productive activities</t>
        </is>
      </c>
    </row>
    <row r="15" ht="18" customHeight="1">
      <c r="A15" s="51" t="inlineStr">
        <is>
          <t>-</t>
        </is>
      </c>
      <c r="B15" s="52" t="inlineStr">
        <is>
          <t>Surplus sold to PLN grid (oversizing to 1 MWp PLTS)</t>
        </is>
      </c>
      <c r="C15" s="61" t="n">
        <v>0</v>
      </c>
      <c r="D15" s="57">
        <f>'🐟 Kalkulator Kebutuhan Listrik'!D65</f>
        <v/>
      </c>
      <c r="E15" s="62" t="n">
        <v>0</v>
      </c>
      <c r="F15" s="54" t="inlineStr">
        <is>
          <t>kWh/year, Oversizing to target 1 MWp per KDKMP for Model 2</t>
        </is>
      </c>
    </row>
    <row r="16" ht="18" customHeight="1">
      <c r="A16" s="51" t="inlineStr">
        <is>
          <t>-</t>
        </is>
      </c>
      <c r="B16" s="52" t="inlineStr">
        <is>
          <t>Annual revenue electricity sold to members (Rp juta)</t>
        </is>
      </c>
      <c r="C16" s="61">
        <f>C12*C13*C14/1000000</f>
        <v/>
      </c>
      <c r="D16" s="57">
        <f>D12*D13*D14/1000000</f>
        <v/>
      </c>
      <c r="E16" s="62">
        <f>E12*E13*E14/1000000</f>
        <v/>
      </c>
      <c r="F16" s="54" t="n"/>
    </row>
    <row r="17" ht="18" customHeight="1">
      <c r="A17" s="51" t="inlineStr">
        <is>
          <t>-</t>
        </is>
      </c>
      <c r="B17" s="52" t="inlineStr">
        <is>
          <t>Annual revenue electricity surplus sold to PLN (Rp juta)</t>
        </is>
      </c>
      <c r="C17" s="61">
        <f>C12*C13*C15/1000000</f>
        <v/>
      </c>
      <c r="D17" s="57">
        <f>D12*D13*D15/1000000</f>
        <v/>
      </c>
      <c r="E17" s="62">
        <f>E12*E13*E15/1000000</f>
        <v/>
      </c>
      <c r="F17" s="54" t="inlineStr">
        <is>
          <t>surplus from oversized PLTS</t>
        </is>
      </c>
    </row>
    <row r="18" ht="18" customHeight="1">
      <c r="A18" s="51" t="inlineStr">
        <is>
          <t>-</t>
        </is>
      </c>
      <c r="B18" s="52" t="inlineStr">
        <is>
          <t>Annual Revenue KDKMP (Rp juta)</t>
        </is>
      </c>
      <c r="C18" s="58">
        <f>SUM(C16:C17)</f>
        <v/>
      </c>
      <c r="D18" s="59">
        <f>SUM(D16:D17)</f>
        <v/>
      </c>
      <c r="E18" s="60">
        <f>SUM(E16:E17)</f>
        <v/>
      </c>
      <c r="F18" s="54" t="inlineStr">
        <is>
          <t>Rp juta/yr  ← CALCULATED</t>
        </is>
      </c>
    </row>
    <row r="19" ht="18" customHeight="1">
      <c r="A19" s="51" t="inlineStr">
        <is>
          <t>-</t>
        </is>
      </c>
      <c r="B19" s="52" t="inlineStr">
        <is>
          <t>Govt subsidy to KDKMP for PLTS inf. (Rp juta/yr)</t>
        </is>
      </c>
      <c r="C19" s="140" t="n">
        <v>0</v>
      </c>
      <c r="D19" s="141" t="n">
        <v>80</v>
      </c>
      <c r="E19" s="77" t="n">
        <v>80</v>
      </c>
      <c r="F19" s="54" t="inlineStr">
        <is>
          <t>Rp juta/yr  |  Operating subsidy or capital rebate — enter 0 if none</t>
        </is>
      </c>
    </row>
    <row r="20" ht="28.5" customHeight="1">
      <c r="A20" s="51" t="inlineStr">
        <is>
          <t>-</t>
        </is>
      </c>
      <c r="B20" s="63" t="inlineStr">
        <is>
          <t>Total Annual Electricity Sales Revenue incl. subsidy (Rp juta/year)</t>
        </is>
      </c>
      <c r="C20" s="64">
        <f>C18+C19</f>
        <v/>
      </c>
      <c r="D20" s="65">
        <f>D18+D19</f>
        <v/>
      </c>
      <c r="E20" s="66">
        <f>E18+E19</f>
        <v/>
      </c>
      <c r="F20" s="54" t="inlineStr">
        <is>
          <t>Rp juta/yr  ← CALCULATED</t>
        </is>
      </c>
    </row>
    <row r="21" ht="18" customHeight="1"/>
    <row r="22" ht="21.75" customHeight="1">
      <c r="A22" s="178" t="inlineStr">
        <is>
          <t>B.  KDKMP Revenue from EaaS — Energy as a Service (Model 3 Only)</t>
        </is>
      </c>
      <c r="B22" s="192" t="n"/>
      <c r="C22" s="192" t="n"/>
      <c r="D22" s="192" t="n"/>
      <c r="E22" s="192" t="n"/>
      <c r="F22" s="192" t="n"/>
    </row>
    <row r="23" ht="32.25" customHeight="1">
      <c r="A23" s="50" t="inlineStr">
        <is>
          <t>-</t>
        </is>
      </c>
      <c r="B23" s="50" t="inlineStr">
        <is>
          <t>Parameter</t>
        </is>
      </c>
      <c r="C23" s="50" t="inlineStr">
        <is>
          <t>Model 1
(3rd Party IPP)</t>
        </is>
      </c>
      <c r="D23" s="50" t="inlineStr">
        <is>
          <t>Model 2
(KDKMP owns PLTS)</t>
        </is>
      </c>
      <c r="E23" s="50" t="inlineStr">
        <is>
          <t>Model 3
(KDKMP owns PLTS and Productive Assets)</t>
        </is>
      </c>
      <c r="F23" s="50" t="inlineStr">
        <is>
          <t>Notes</t>
        </is>
      </c>
    </row>
    <row r="24" ht="18" customHeight="1">
      <c r="A24" s="51" t="inlineStr">
        <is>
          <t>-</t>
        </is>
      </c>
      <c r="B24" s="52" t="inlineStr">
        <is>
          <t>Annual EaaS Revenue KDKMP (Rp juta)</t>
        </is>
      </c>
      <c r="C24" s="67" t="n">
        <v>0</v>
      </c>
      <c r="D24" s="67" t="n">
        <v>0</v>
      </c>
      <c r="E24" s="123">
        <f>H105</f>
        <v/>
      </c>
      <c r="F24" s="68" t="inlineStr">
        <is>
          <t>Rp juta/yr  ← CALCULATED (fee × kWh × collection / 1,000,000)</t>
        </is>
      </c>
    </row>
    <row r="25" ht="18" customHeight="1">
      <c r="A25" s="51" t="inlineStr">
        <is>
          <t>-</t>
        </is>
      </c>
      <c r="B25" s="52" t="inlineStr">
        <is>
          <t>Govt subsidy to KDKMP for EaaS inf. (Rp juta/yr)</t>
        </is>
      </c>
      <c r="C25" s="67" t="n">
        <v>0</v>
      </c>
      <c r="D25" s="67" t="n">
        <v>0</v>
      </c>
      <c r="E25" s="55" t="n">
        <v>0</v>
      </c>
      <c r="F25" s="68" t="inlineStr">
        <is>
          <t>Rp juta/yr  |  Enter 0 if none</t>
        </is>
      </c>
    </row>
    <row r="26" ht="18" customHeight="1">
      <c r="A26" s="69" t="inlineStr">
        <is>
          <t>-</t>
        </is>
      </c>
      <c r="B26" s="63" t="inlineStr">
        <is>
          <t>Total EaaS Revenue incl. subsidy (Rp juta/yr)</t>
        </is>
      </c>
      <c r="C26" s="70" t="n">
        <v>0</v>
      </c>
      <c r="D26" s="70" t="n">
        <v>0</v>
      </c>
      <c r="E26" s="66">
        <f>E24+E25</f>
        <v/>
      </c>
      <c r="F26" s="68" t="inlineStr">
        <is>
          <t>Rp juta/yr  ← CALCULATED</t>
        </is>
      </c>
    </row>
    <row r="27" ht="18" customHeight="1"/>
    <row r="28" ht="18" customHeight="1">
      <c r="A28" s="178" t="inlineStr">
        <is>
          <t>C.  KDKMP CAPEX Exposure by Business Model (Rp juta)</t>
        </is>
      </c>
      <c r="B28" s="192" t="n"/>
      <c r="C28" s="192" t="n"/>
      <c r="D28" s="192" t="n"/>
      <c r="E28" s="192" t="n"/>
      <c r="F28" s="192" t="n"/>
    </row>
    <row r="29" ht="39.75" customHeight="1">
      <c r="A29" s="50" t="inlineStr">
        <is>
          <t>-</t>
        </is>
      </c>
      <c r="B29" s="50" t="inlineStr">
        <is>
          <t>Parameter</t>
        </is>
      </c>
      <c r="C29" s="50" t="inlineStr">
        <is>
          <t>Model 1
(3rd Party IPP)</t>
        </is>
      </c>
      <c r="D29" s="50" t="inlineStr">
        <is>
          <t>Model 2
(KDKMP owns PLTS)</t>
        </is>
      </c>
      <c r="E29" s="50" t="inlineStr">
        <is>
          <t>Model 3
(KDKMP owns PLTS and Productive Assets)</t>
        </is>
      </c>
      <c r="F29" s="50" t="inlineStr">
        <is>
          <t>Notes</t>
        </is>
      </c>
    </row>
    <row r="30" ht="18" customHeight="1">
      <c r="A30" s="51" t="inlineStr">
        <is>
          <t>-</t>
        </is>
      </c>
      <c r="B30" s="52" t="inlineStr">
        <is>
          <t>PLTS + BESS + Distribution CAPEX</t>
        </is>
      </c>
      <c r="C30" s="56" t="n">
        <v>0</v>
      </c>
      <c r="D30" s="59">
        <f>('💰 Kapasitas &amp; Investasi'!J69*(1+'🐟 Kalkulator Kebutuhan Listrik'!D64))+'💰 Kapasitas &amp; Investasi'!J70+'💰 Kapasitas &amp; Investasi'!J71</f>
        <v/>
      </c>
      <c r="E30" s="60">
        <f>'💰 Kapasitas &amp; Investasi'!J72</f>
        <v/>
      </c>
      <c r="F30" s="68" t="inlineStr">
        <is>
          <t>Rp juta  |  Model 1: PLTS owned by IPP (KDKMP=0); Models 2&amp;3: KDKMP owns PLTS (model 2 oversized to 1 MWp)</t>
        </is>
      </c>
    </row>
    <row r="31" ht="35.25" customHeight="1">
      <c r="A31" s="51" t="inlineStr">
        <is>
          <t>-</t>
        </is>
      </c>
      <c r="B31" s="52" t="inlineStr">
        <is>
          <t>Productive Assets CAPEX (cold storage, ice maker, boats, etc.)</t>
        </is>
      </c>
      <c r="C31" s="56" t="n">
        <v>0</v>
      </c>
      <c r="D31" s="53" t="n">
        <v>0</v>
      </c>
      <c r="E31" s="60">
        <f>'💰 Kapasitas &amp; Investasi'!J55</f>
        <v/>
      </c>
      <c r="F31" s="68" t="inlineStr">
        <is>
          <t xml:space="preserve">Rp juta  |  Model 3 only </t>
        </is>
      </c>
    </row>
    <row r="32" ht="18" customHeight="1">
      <c r="A32" s="69" t="inlineStr">
        <is>
          <t>-</t>
        </is>
      </c>
      <c r="B32" s="63" t="inlineStr">
        <is>
          <t>TOTAL KDKMP CAPEX (Rp juta)</t>
        </is>
      </c>
      <c r="C32" s="64">
        <f>C30+C31</f>
        <v/>
      </c>
      <c r="D32" s="65">
        <f>D30+D31</f>
        <v/>
      </c>
      <c r="E32" s="66">
        <f>E30+E31</f>
        <v/>
      </c>
      <c r="F32" s="68" t="inlineStr">
        <is>
          <t>Rp juta  ← CALCULATED</t>
        </is>
      </c>
    </row>
    <row r="33" ht="18" customHeight="1">
      <c r="A33" s="51" t="inlineStr">
        <is>
          <t>-</t>
        </is>
      </c>
      <c r="B33" s="52" t="inlineStr">
        <is>
          <t>Grant / Dana Hibah received (Rp juta)</t>
        </is>
      </c>
      <c r="C33" s="56" t="n">
        <v>0</v>
      </c>
      <c r="D33" s="120" t="n">
        <v>500</v>
      </c>
      <c r="E33" s="55" t="n">
        <v>500</v>
      </c>
      <c r="F33" s="68" t="inlineStr">
        <is>
          <t>Rp juta  |  Total grant/hibah injection; adjust per actual commitment</t>
        </is>
      </c>
    </row>
    <row r="34" ht="18" customHeight="1">
      <c r="A34" s="69" t="inlineStr">
        <is>
          <t>-</t>
        </is>
      </c>
      <c r="B34" s="63" t="inlineStr">
        <is>
          <t>NET KDKMP CAPEX after Grant (Rp juta)</t>
        </is>
      </c>
      <c r="C34" s="64">
        <f>C32-C33</f>
        <v/>
      </c>
      <c r="D34" s="65">
        <f>D32-D33</f>
        <v/>
      </c>
      <c r="E34" s="66">
        <f>E32-E33</f>
        <v/>
      </c>
      <c r="F34" s="68" t="inlineStr">
        <is>
          <t>Rp juta  ← CALCULATED = Total CAPEX - Grant</t>
        </is>
      </c>
    </row>
    <row r="35" ht="18" customHeight="1"/>
    <row r="36" ht="18" customHeight="1">
      <c r="A36" s="178" t="inlineStr">
        <is>
          <t>D.  KDKMP Annual OPEX Exposure (Rp juta/tahun)</t>
        </is>
      </c>
      <c r="B36" s="192" t="n"/>
      <c r="C36" s="192" t="n"/>
      <c r="D36" s="192" t="n"/>
      <c r="E36" s="192" t="n"/>
      <c r="F36" s="192" t="n"/>
    </row>
    <row r="37" ht="46.5" customHeight="1">
      <c r="A37" s="50" t="inlineStr">
        <is>
          <t>-</t>
        </is>
      </c>
      <c r="B37" s="50" t="inlineStr">
        <is>
          <t>Parameter</t>
        </is>
      </c>
      <c r="C37" s="50" t="inlineStr">
        <is>
          <t>Model 1
(3rd Party IPP)</t>
        </is>
      </c>
      <c r="D37" s="50" t="inlineStr">
        <is>
          <t>Model 2
(KDKMP owns PLTS)</t>
        </is>
      </c>
      <c r="E37" s="50" t="inlineStr">
        <is>
          <t>Model 3
(KDKMP owns PLTS and Productive Assets)</t>
        </is>
      </c>
      <c r="F37" s="50" t="inlineStr">
        <is>
          <t>Notes</t>
        </is>
      </c>
    </row>
    <row r="38" ht="18" customHeight="1">
      <c r="A38" s="51" t="inlineStr">
        <is>
          <t>-</t>
        </is>
      </c>
      <c r="B38" s="52" t="inlineStr">
        <is>
          <t>PLTS O&amp;M rate (% of PLTS CAPEX per year)</t>
        </is>
      </c>
      <c r="C38" s="193" t="n">
        <v>0.02</v>
      </c>
      <c r="D38" s="194" t="n">
        <v>0.02</v>
      </c>
      <c r="E38" s="195" t="n">
        <v>0.02</v>
      </c>
      <c r="F38" s="68" t="inlineStr">
        <is>
          <t>ratio  |  1.5–2.5% industry standard</t>
        </is>
      </c>
    </row>
    <row r="39" ht="18" customHeight="1">
      <c r="A39" s="51" t="inlineStr">
        <is>
          <t>-</t>
        </is>
      </c>
      <c r="B39" s="52" t="inlineStr">
        <is>
          <t>PLTS O&amp;M Annual Cost (Rp juta/tahun)</t>
        </is>
      </c>
      <c r="C39" s="58">
        <f>C38*C30</f>
        <v/>
      </c>
      <c r="D39" s="59">
        <f>D38*D30</f>
        <v/>
      </c>
      <c r="E39" s="60">
        <f>E38*E30</f>
        <v/>
      </c>
      <c r="F39" s="68" t="inlineStr">
        <is>
          <t>Rp juta/yr  ← CALCULATED</t>
        </is>
      </c>
    </row>
    <row r="40" ht="18" customHeight="1">
      <c r="A40" s="51" t="inlineStr">
        <is>
          <t>-</t>
        </is>
      </c>
      <c r="B40" s="52" t="inlineStr">
        <is>
          <t>Productive Assets O&amp;M rate (% of asset CAPEX/yr)</t>
        </is>
      </c>
      <c r="C40" s="193" t="n">
        <v>0.05</v>
      </c>
      <c r="D40" s="194" t="n">
        <v>0.05</v>
      </c>
      <c r="E40" s="195" t="n">
        <v>0.05</v>
      </c>
      <c r="F40" s="68" t="inlineStr">
        <is>
          <t>ratio  |  Cold storage, ice maker, boats: ~5%/yr maintenance</t>
        </is>
      </c>
    </row>
    <row r="41" ht="18" customHeight="1">
      <c r="A41" s="51" t="inlineStr">
        <is>
          <t>-</t>
        </is>
      </c>
      <c r="B41" s="52" t="inlineStr">
        <is>
          <t>Productive Asset O&amp;M Annual (Rp juta/tahun)</t>
        </is>
      </c>
      <c r="C41" s="58">
        <f>C40*C31</f>
        <v/>
      </c>
      <c r="D41" s="59">
        <f>D40*D31</f>
        <v/>
      </c>
      <c r="E41" s="60">
        <f>E40*E31</f>
        <v/>
      </c>
      <c r="F41" s="68" t="inlineStr">
        <is>
          <t>Rp juta/yr  ← CALCULATED</t>
        </is>
      </c>
    </row>
    <row r="42" ht="18" customHeight="1">
      <c r="A42" s="51" t="inlineStr">
        <is>
          <t>-</t>
        </is>
      </c>
      <c r="B42" s="52" t="inlineStr">
        <is>
          <t>KDKMP staff / management cost (Rp juta/tahun)</t>
        </is>
      </c>
      <c r="C42" s="118" t="n">
        <v>120</v>
      </c>
      <c r="D42" s="121" t="n">
        <v>120</v>
      </c>
      <c r="E42" s="149">
        <f>IF('💰 Kapasitas &amp; Investasi'!J55&gt;0,D42/(2/3),D42)</f>
        <v/>
      </c>
      <c r="F42" s="68" t="inlineStr">
        <is>
          <t>Rp juta/yr  |  Model 3 needs larger team for EaaS operations (assume 1.5x more)</t>
        </is>
      </c>
    </row>
    <row r="43" ht="18" customHeight="1">
      <c r="A43" s="69" t="inlineStr">
        <is>
          <t>-</t>
        </is>
      </c>
      <c r="B43" s="63" t="inlineStr">
        <is>
          <t>Total Annual OPEX (Rp juta/yr)</t>
        </is>
      </c>
      <c r="C43" s="64">
        <f>C39+C41+C42</f>
        <v/>
      </c>
      <c r="D43" s="65">
        <f>D39+D41+D42</f>
        <v/>
      </c>
      <c r="E43" s="66">
        <f>E39+E41+E42</f>
        <v/>
      </c>
      <c r="F43" s="68" t="inlineStr">
        <is>
          <t>Rp juta  ← CALCULATED</t>
        </is>
      </c>
    </row>
    <row r="44" ht="18" customHeight="1"/>
    <row r="45" ht="18" customHeight="1">
      <c r="A45" s="178" t="inlineStr">
        <is>
          <t>E.  Annual Net Revenue &amp; Grant Recovery</t>
        </is>
      </c>
      <c r="B45" s="192" t="n"/>
      <c r="C45" s="192" t="n"/>
      <c r="D45" s="192" t="n"/>
      <c r="E45" s="192" t="n"/>
      <c r="F45" s="192" t="n"/>
    </row>
    <row r="46" ht="36" customHeight="1">
      <c r="A46" s="50" t="inlineStr">
        <is>
          <t>-</t>
        </is>
      </c>
      <c r="B46" s="50" t="inlineStr">
        <is>
          <t>Parameter</t>
        </is>
      </c>
      <c r="C46" s="50" t="inlineStr">
        <is>
          <t>Model 1
(3rd Party IPP)</t>
        </is>
      </c>
      <c r="D46" s="50" t="inlineStr">
        <is>
          <t>Model 2
(KDKMP owns PLTS)</t>
        </is>
      </c>
      <c r="E46" s="50" t="inlineStr">
        <is>
          <t>Model 3
(KDKMP owns PLTS and Productive Assets)</t>
        </is>
      </c>
      <c r="F46" s="50" t="inlineStr">
        <is>
          <t>Notes</t>
        </is>
      </c>
    </row>
    <row r="47" ht="18" customHeight="1">
      <c r="A47" s="51" t="inlineStr">
        <is>
          <t>-</t>
        </is>
      </c>
      <c r="B47" s="52" t="inlineStr">
        <is>
          <t>Total Annual Revenue (Electricity + EaaS) (Rp juta)</t>
        </is>
      </c>
      <c r="C47" s="58">
        <f>C20</f>
        <v/>
      </c>
      <c r="D47" s="59">
        <f>D20</f>
        <v/>
      </c>
      <c r="E47" s="60">
        <f>E20+E26</f>
        <v/>
      </c>
      <c r="F47" s="68" t="inlineStr">
        <is>
          <t>Rp juta/yr  ← CALCULATED</t>
        </is>
      </c>
    </row>
    <row r="48" ht="18" customHeight="1">
      <c r="A48" s="69" t="inlineStr">
        <is>
          <t>-</t>
        </is>
      </c>
      <c r="B48" s="63" t="inlineStr">
        <is>
          <t>Annual Net Income after OPEX (Rp juta/yr)</t>
        </is>
      </c>
      <c r="C48" s="64">
        <f>C47-C43</f>
        <v/>
      </c>
      <c r="D48" s="65">
        <f>D47-D43</f>
        <v/>
      </c>
      <c r="E48" s="66">
        <f>E47-E43</f>
        <v/>
      </c>
      <c r="F48" s="68" t="inlineStr">
        <is>
          <t>Rp juta/yr  ← CALCULATED = Total Revenue - Total OPEX</t>
        </is>
      </c>
    </row>
    <row r="49" ht="18" customHeight="1">
      <c r="A49" s="51" t="inlineStr">
        <is>
          <t>-</t>
        </is>
      </c>
      <c r="B49" s="52" t="inlineStr">
        <is>
          <t>Grant Recovery Ratio (% of net income allocated to grant recovery)</t>
        </is>
      </c>
      <c r="C49" s="145" t="n">
        <v>0.3</v>
      </c>
      <c r="D49" s="146" t="n">
        <v>0.3</v>
      </c>
      <c r="E49" s="139" t="n">
        <v>0.3</v>
      </c>
      <c r="F49" s="68" t="inlineStr">
        <is>
          <t>ratio  |  Fraction of annual net income earmarked to recover grant capital</t>
        </is>
      </c>
    </row>
    <row r="50" ht="18" customHeight="1">
      <c r="A50" s="51" t="inlineStr">
        <is>
          <t>-</t>
        </is>
      </c>
      <c r="B50" s="52" t="inlineStr">
        <is>
          <t>Annual Grant Recovery Contribution (Rp juta/yr)</t>
        </is>
      </c>
      <c r="C50" s="58">
        <f>IF(C48&gt;0,C48*C49,0)</f>
        <v/>
      </c>
      <c r="D50" s="59">
        <f>IF(D48&gt;0,D48*D49,0)</f>
        <v/>
      </c>
      <c r="E50" s="60">
        <f>IF(E48&gt;0,E48*E49,0)</f>
        <v/>
      </c>
      <c r="F50" s="68" t="inlineStr">
        <is>
          <t>Rp juta/yr  ← CALCULATED</t>
        </is>
      </c>
    </row>
    <row r="51" ht="18" customHeight="1">
      <c r="A51" s="51" t="inlineStr">
        <is>
          <t>-</t>
        </is>
      </c>
      <c r="B51" s="52" t="inlineStr">
        <is>
          <t>Estimated Years to Full Grant Recovery</t>
        </is>
      </c>
      <c r="C51" s="73">
        <f>IFERROR(IF(C50&gt;0,C34/C50,"N/A"),"N/A")</f>
        <v/>
      </c>
      <c r="D51" s="74">
        <f>IFERROR(IF(D50&gt;0,D34/D50,"N/A"),"N/A")</f>
        <v/>
      </c>
      <c r="E51" s="75">
        <f>IFERROR(IF(E50&gt;0,E34/E50,"N/A"),"N/A")</f>
        <v/>
      </c>
      <c r="F51" s="68" t="inlineStr">
        <is>
          <t>years  ← Net CAPEX after grant ÷ Annual grant contribution</t>
        </is>
      </c>
    </row>
    <row r="52" ht="18" customHeight="1"/>
    <row r="53" ht="18" customHeight="1">
      <c r="A53" s="178" t="inlineStr">
        <is>
          <t>F.  Financial Returns: NPV / IRR / Payback Period</t>
        </is>
      </c>
      <c r="B53" s="192" t="n"/>
      <c r="C53" s="192" t="n"/>
      <c r="D53" s="192" t="n"/>
      <c r="E53" s="192" t="n"/>
      <c r="F53" s="192" t="n"/>
    </row>
    <row r="54" ht="40.5" customHeight="1">
      <c r="A54" s="50" t="inlineStr">
        <is>
          <t>-</t>
        </is>
      </c>
      <c r="B54" s="50" t="inlineStr">
        <is>
          <t>Parameter</t>
        </is>
      </c>
      <c r="C54" s="50" t="inlineStr">
        <is>
          <t>Model 1
(3rd Party IPP)</t>
        </is>
      </c>
      <c r="D54" s="50" t="inlineStr">
        <is>
          <t>Model 2
(KDKMP owns PLTS)</t>
        </is>
      </c>
      <c r="E54" s="50" t="inlineStr">
        <is>
          <t>Model 3
(KDKMP owns PLTS and Productive Assets)</t>
        </is>
      </c>
      <c r="F54" s="50" t="inlineStr">
        <is>
          <t>Notes</t>
        </is>
      </c>
    </row>
    <row r="55" ht="21.75" customHeight="1">
      <c r="A55" s="51" t="inlineStr">
        <is>
          <t>-</t>
        </is>
      </c>
      <c r="B55" s="52" t="inlineStr">
        <is>
          <t>Project lifetime (years)</t>
        </is>
      </c>
      <c r="C55" s="119" t="n">
        <v>20</v>
      </c>
      <c r="D55" s="76" t="n">
        <v>20</v>
      </c>
      <c r="E55" s="77" t="n">
        <v>20</v>
      </c>
      <c r="F55" s="68" t="inlineStr">
        <is>
          <t>years  |  Default 20yr for PLTS system</t>
        </is>
      </c>
      <c r="G55" s="132" t="inlineStr">
        <is>
          <t>belum terkoneksi dengan DCF helper table yang fix 20 tahun</t>
        </is>
      </c>
    </row>
    <row r="56" ht="21.75" customHeight="1">
      <c r="A56" s="51" t="inlineStr">
        <is>
          <t>-</t>
        </is>
      </c>
      <c r="B56" s="52" t="inlineStr">
        <is>
          <t>Discount rate / cost of capital (WACC)</t>
        </is>
      </c>
      <c r="C56" s="193" t="n">
        <v>0.1</v>
      </c>
      <c r="D56" s="194" t="n">
        <v>0.1</v>
      </c>
      <c r="E56" s="195" t="n">
        <v>0.1</v>
      </c>
      <c r="F56" s="68" t="inlineStr">
        <is>
          <t>ratio  |  10% = typical hurdle rate for rural energy Indonesia</t>
        </is>
      </c>
    </row>
    <row r="57" ht="18" customHeight="1">
      <c r="A57" s="51" t="inlineStr">
        <is>
          <t>-</t>
        </is>
      </c>
      <c r="B57" s="52" t="inlineStr">
        <is>
          <t>Annual revenue growth rate</t>
        </is>
      </c>
      <c r="C57" s="193" t="n">
        <v>0.03</v>
      </c>
      <c r="D57" s="194" t="n">
        <v>0.03</v>
      </c>
      <c r="E57" s="195" t="n">
        <v>0.03</v>
      </c>
      <c r="F57" s="68" t="inlineStr">
        <is>
          <t>ratio  |  3% conservative pa growth</t>
        </is>
      </c>
    </row>
    <row r="58" ht="18" customHeight="1">
      <c r="A58" s="51" t="inlineStr">
        <is>
          <t>-</t>
        </is>
      </c>
      <c r="B58" s="52" t="inlineStr">
        <is>
          <t>PLTS degradation per year</t>
        </is>
      </c>
      <c r="C58" s="193" t="n">
        <v>0.005</v>
      </c>
      <c r="D58" s="194" t="n">
        <v>0.005</v>
      </c>
      <c r="E58" s="195" t="n">
        <v>0.005</v>
      </c>
      <c r="F58" s="68" t="inlineStr">
        <is>
          <t>ratio  |  0.5%/yr PV module degradation</t>
        </is>
      </c>
    </row>
    <row r="59" ht="18" customHeight="1">
      <c r="A59" s="51" t="inlineStr">
        <is>
          <t>-</t>
        </is>
      </c>
      <c r="B59" s="52" t="inlineStr">
        <is>
          <t>BESS replacement year</t>
        </is>
      </c>
      <c r="C59" s="119" t="n">
        <v>10</v>
      </c>
      <c r="D59" s="76" t="n">
        <v>10</v>
      </c>
      <c r="E59" s="77" t="n">
        <v>10</v>
      </c>
      <c r="F59" s="68" t="inlineStr">
        <is>
          <t>year  |  LFP battery target replacement cycle</t>
        </is>
      </c>
    </row>
    <row r="60" ht="18" customHeight="1">
      <c r="A60" s="51" t="inlineStr">
        <is>
          <t>-</t>
        </is>
      </c>
      <c r="B60" s="52" t="inlineStr">
        <is>
          <t>BESS replacement cost (Rp juta)</t>
        </is>
      </c>
      <c r="C60" s="58" t="n">
        <v>0</v>
      </c>
      <c r="D60" s="59">
        <f>'💰 Kapasitas &amp; Investasi'!J70*0.5</f>
        <v/>
      </c>
      <c r="E60" s="60">
        <f>'💰 Kapasitas &amp; Investasi'!J70*0.5</f>
        <v/>
      </c>
      <c r="F60" s="68" t="inlineStr">
        <is>
          <t>Rp juta  ← 50% of original BESS CAPEX (Model 1=0, IPP bears)</t>
        </is>
      </c>
    </row>
    <row r="61" ht="18" customHeight="1">
      <c r="A61" s="51" t="inlineStr">
        <is>
          <t>-</t>
        </is>
      </c>
      <c r="B61" s="52" t="inlineStr">
        <is>
          <t>Year 1 Net Cash Flow (Rp juta)</t>
        </is>
      </c>
      <c r="C61" s="58">
        <f>C48</f>
        <v/>
      </c>
      <c r="D61" s="59">
        <f>D48</f>
        <v/>
      </c>
      <c r="E61" s="60">
        <f>E48</f>
        <v/>
      </c>
      <c r="F61" s="68" t="inlineStr">
        <is>
          <t>Rp juta  ← Annual net income (constant money basis)</t>
        </is>
      </c>
    </row>
    <row r="62" ht="18" customHeight="1">
      <c r="A62" s="51" t="inlineStr">
        <is>
          <t>-</t>
        </is>
      </c>
      <c r="B62" s="52" t="inlineStr">
        <is>
          <t>Simple Payback Period (years)</t>
        </is>
      </c>
      <c r="C62" s="73">
        <f>IFERROR(IF(C61&gt;0,C34/C61,"N/A"),"N/A")</f>
        <v/>
      </c>
      <c r="D62" s="74">
        <f>IFERROR(IF(D61&gt;0,D34/D61,"N/A"),"N/A")</f>
        <v/>
      </c>
      <c r="E62" s="75">
        <f>IFERROR(IF(E61&gt;0,E34/E61,"N/A"),"N/A")</f>
        <v/>
      </c>
      <c r="F62" s="68" t="inlineStr">
        <is>
          <t>years  ← Net CAPEX after grant ÷ Yr1 Net Income</t>
        </is>
      </c>
    </row>
    <row r="63" ht="18" customHeight="1">
      <c r="A63" s="69" t="inlineStr">
        <is>
          <t>-</t>
        </is>
      </c>
      <c r="B63" s="63" t="inlineStr">
        <is>
          <t>NPV @ discount rate (Rp juta)</t>
        </is>
      </c>
      <c r="C63" s="64">
        <f>IFERROR(IF(C56&lt;&gt;C57,C61*(1-(1+C57)^C55*(1+C56)^(-C55))/(C56-C57)-C60/(1+C56)^C59-C34,C61*C55*(1+C56)^(-1)-C60/(1+C56)^C59-C34),"Error")</f>
        <v/>
      </c>
      <c r="D63" s="65">
        <f>IFERROR(IF(D56&lt;&gt;D57,D61*(1-(1+D57)^D55*(1+D56)^(-D55))/(D56-D57)-D60/(1+D56)^D59-D34,D61*D55*(1+D56)^(-1)-D60/(1+D56)^D59-D34),"Error")</f>
        <v/>
      </c>
      <c r="E63" s="66">
        <f>IFERROR(IF(E56&lt;&gt;E57,E61*(1-(1+E57)^E55*(1+E56)^(-E55))/(E56-E57)-E60/(1+E56)^E59-E34,E61*E55*(1+E56)^(-1)-E60/(1+E56)^E59-E34),"Error")</f>
        <v/>
      </c>
      <c r="F63" s="68" t="inlineStr">
        <is>
          <t>Rp juta  ← Growing annuity formula; BESS replacement PV deducted</t>
        </is>
      </c>
    </row>
    <row r="64" ht="18" customHeight="1">
      <c r="A64" s="69" t="inlineStr">
        <is>
          <t>-</t>
        </is>
      </c>
      <c r="B64" s="63" t="inlineStr">
        <is>
          <t>IRR (DCF array method)</t>
        </is>
      </c>
      <c r="C64" s="196">
        <f>IFERROR(C133,"N/A")</f>
        <v/>
      </c>
      <c r="D64" s="197">
        <f>IFERROR(D133,"N/A")</f>
        <v/>
      </c>
      <c r="E64" s="198">
        <f>IFERROR(E133,"N/A")</f>
        <v/>
      </c>
      <c r="F64" s="68" t="inlineStr">
        <is>
          <t>% ← =IRR(Yr0:Yr20 cash flow array, 10% guess); see DCF helper table rows 125–131 below for full year-by-year breakdown</t>
        </is>
      </c>
    </row>
    <row r="65" ht="18" customHeight="1"/>
    <row r="66" ht="18" customHeight="1">
      <c r="A66" s="178" t="inlineStr">
        <is>
          <t>G.  MODEL COMPARISON SUMMARY  —  Key Metrics at a Glance</t>
        </is>
      </c>
      <c r="B66" s="192" t="n"/>
      <c r="C66" s="192" t="n"/>
      <c r="D66" s="192" t="n"/>
      <c r="E66" s="192" t="n"/>
      <c r="F66" s="192" t="n"/>
    </row>
    <row r="67" ht="39" customHeight="1">
      <c r="A67" s="50" t="inlineStr">
        <is>
          <t>-</t>
        </is>
      </c>
      <c r="B67" s="50" t="inlineStr">
        <is>
          <t>Parameter</t>
        </is>
      </c>
      <c r="C67" s="50" t="inlineStr">
        <is>
          <t>Model 1
(3rd Party IPP)</t>
        </is>
      </c>
      <c r="D67" s="50" t="inlineStr">
        <is>
          <t>Model 2
(KDKMP owns PLTS)</t>
        </is>
      </c>
      <c r="E67" s="50" t="inlineStr">
        <is>
          <t>Model 3
(KDKMP owns PLTS and Productive Assets)</t>
        </is>
      </c>
      <c r="F67" s="50" t="inlineStr">
        <is>
          <t>Notes</t>
        </is>
      </c>
    </row>
    <row r="68" ht="18" customHeight="1">
      <c r="A68" s="69" t="inlineStr">
        <is>
          <t>-</t>
        </is>
      </c>
      <c r="B68" s="63" t="inlineStr">
        <is>
          <t>Total KDKMP CAPEX (Rp juta)</t>
        </is>
      </c>
      <c r="C68" s="64">
        <f>C32</f>
        <v/>
      </c>
      <c r="D68" s="65">
        <f>D32</f>
        <v/>
      </c>
      <c r="E68" s="66">
        <f>E32</f>
        <v/>
      </c>
      <c r="F68" s="54" t="inlineStr">
        <is>
          <t>Lower = less equity burden on KDKMP</t>
        </is>
      </c>
    </row>
    <row r="69" ht="18" customHeight="1">
      <c r="A69" s="69" t="inlineStr">
        <is>
          <t>-</t>
        </is>
      </c>
      <c r="B69" s="63" t="inlineStr">
        <is>
          <t>Net CAPEX after Grant (Rp juta)</t>
        </is>
      </c>
      <c r="C69" s="64">
        <f>C34</f>
        <v/>
      </c>
      <c r="D69" s="65">
        <f>D34</f>
        <v/>
      </c>
      <c r="E69" s="66">
        <f>E34</f>
        <v/>
      </c>
      <c r="F69" s="54" t="inlineStr">
        <is>
          <t>Remaining KDKMP equity requirement</t>
        </is>
      </c>
    </row>
    <row r="70" ht="18" customHeight="1">
      <c r="A70" s="69" t="inlineStr">
        <is>
          <t>-</t>
        </is>
      </c>
      <c r="B70" s="63" t="inlineStr">
        <is>
          <t>Annual Total Revenue (Rp juta/yr)</t>
        </is>
      </c>
      <c r="C70" s="64">
        <f>C47</f>
        <v/>
      </c>
      <c r="D70" s="65">
        <f>D47</f>
        <v/>
      </c>
      <c r="E70" s="66">
        <f>E47</f>
        <v/>
      </c>
      <c r="F70" s="54" t="inlineStr">
        <is>
          <t>Higher is better</t>
        </is>
      </c>
    </row>
    <row r="71" ht="18" customHeight="1">
      <c r="A71" s="69" t="inlineStr">
        <is>
          <t>-</t>
        </is>
      </c>
      <c r="B71" s="63" t="inlineStr">
        <is>
          <t>Annual Total OPEX (Rp juta/yr)</t>
        </is>
      </c>
      <c r="C71" s="64">
        <f>C43</f>
        <v/>
      </c>
      <c r="D71" s="65">
        <f>D43</f>
        <v/>
      </c>
      <c r="E71" s="66">
        <f>E43</f>
        <v/>
      </c>
      <c r="F71" s="54" t="inlineStr">
        <is>
          <t>Lower is better</t>
        </is>
      </c>
    </row>
    <row r="72" ht="18" customHeight="1">
      <c r="A72" s="69" t="inlineStr">
        <is>
          <t>-</t>
        </is>
      </c>
      <c r="B72" s="63" t="inlineStr">
        <is>
          <t>Annual Net Income (Rp juta/yr)</t>
        </is>
      </c>
      <c r="C72" s="64">
        <f>C48</f>
        <v/>
      </c>
      <c r="D72" s="65">
        <f>D48</f>
        <v/>
      </c>
      <c r="E72" s="66">
        <f>E48</f>
        <v/>
      </c>
      <c r="F72" s="54" t="inlineStr">
        <is>
          <t>Must be positive for viability</t>
        </is>
      </c>
    </row>
    <row r="73" ht="18" customHeight="1">
      <c r="A73" s="69" t="inlineStr">
        <is>
          <t>-</t>
        </is>
      </c>
      <c r="B73" s="63" t="inlineStr">
        <is>
          <t>Simple Payback (years)</t>
        </is>
      </c>
      <c r="C73" s="81">
        <f>C62</f>
        <v/>
      </c>
      <c r="D73" s="82">
        <f>D62</f>
        <v/>
      </c>
      <c r="E73" s="83">
        <f>E62</f>
        <v/>
      </c>
      <c r="F73" s="54" t="inlineStr">
        <is>
          <t>Target: &lt; 10 years</t>
        </is>
      </c>
    </row>
    <row r="74" ht="18" customHeight="1">
      <c r="A74" s="69" t="inlineStr">
        <is>
          <t>-</t>
        </is>
      </c>
      <c r="B74" s="63" t="inlineStr">
        <is>
          <t>NPV (Rp juta)</t>
        </is>
      </c>
      <c r="C74" s="64">
        <f>C63</f>
        <v/>
      </c>
      <c r="D74" s="65">
        <f>D63</f>
        <v/>
      </c>
      <c r="E74" s="66">
        <f>E63</f>
        <v/>
      </c>
      <c r="F74" s="54" t="inlineStr">
        <is>
          <t>Positive = project is viable at WACC</t>
        </is>
      </c>
    </row>
    <row r="75" ht="18" customHeight="1">
      <c r="A75" s="69" t="inlineStr">
        <is>
          <t>-</t>
        </is>
      </c>
      <c r="B75" s="63" t="inlineStr">
        <is>
          <t>IRR (DCF method)</t>
        </is>
      </c>
      <c r="C75" s="196">
        <f>C64</f>
        <v/>
      </c>
      <c r="D75" s="197">
        <f>D64</f>
        <v/>
      </c>
      <c r="E75" s="198">
        <f>E64</f>
        <v/>
      </c>
      <c r="F75" s="54" t="inlineStr">
        <is>
          <t>Compare to 10% hurdle rate</t>
        </is>
      </c>
    </row>
    <row r="76" ht="18" customHeight="1">
      <c r="A76" s="69" t="inlineStr">
        <is>
          <t>-</t>
        </is>
      </c>
      <c r="B76" s="63" t="inlineStr">
        <is>
          <t>Grant Recovery (years)</t>
        </is>
      </c>
      <c r="C76" s="81">
        <f>C51</f>
        <v/>
      </c>
      <c r="D76" s="82">
        <f>D51</f>
        <v/>
      </c>
      <c r="E76" s="83">
        <f>E51</f>
        <v/>
      </c>
      <c r="F76" s="54" t="inlineStr">
        <is>
          <t>Shorter = grant recycled faster</t>
        </is>
      </c>
    </row>
    <row r="77" ht="18" customHeight="1">
      <c r="A77" s="69" t="inlineStr">
        <is>
          <t>-</t>
        </is>
      </c>
      <c r="B77" s="63" t="inlineStr">
        <is>
          <t>KDKMP Institutional Burden</t>
        </is>
      </c>
      <c r="C77" s="84" t="inlineStr">
        <is>
          <t>Rendah (Low)</t>
        </is>
      </c>
      <c r="D77" s="85" t="inlineStr">
        <is>
          <t>Tinggi (High)</t>
        </is>
      </c>
      <c r="E77" s="86" t="inlineStr">
        <is>
          <t>Sangat Tinggi (Very High)</t>
        </is>
      </c>
      <c r="F77" s="54" t="inlineStr">
        <is>
          <t>Model 1 easiest to manage</t>
        </is>
      </c>
    </row>
    <row r="78" ht="18" customHeight="1"/>
    <row r="79" ht="24" customHeight="1">
      <c r="A79" s="179" t="inlineStr">
        <is>
          <t>B2.  DETAIL PENDAPATAN EaaS PER AKTIVITAS  —  Model 3 Only  (Energy as a Service)</t>
        </is>
      </c>
      <c r="B79" s="183" t="n"/>
      <c r="C79" s="183" t="n"/>
      <c r="D79" s="183" t="n"/>
      <c r="E79" s="183" t="n"/>
      <c r="F79" s="183" t="n"/>
      <c r="G79" s="183" t="n"/>
      <c r="H79" s="183" t="n"/>
      <c r="I79" s="183" t="n"/>
      <c r="J79" s="183" t="n"/>
      <c r="K79" s="183" t="n"/>
    </row>
    <row r="80" ht="19.5" customHeight="1">
      <c r="B80" s="180" t="inlineStr">
        <is>
          <t>🟨 Kuning = INPUT (ubah sesuai survei harga pasar lokal)   |   🟩 Hijau = KALKULASI otomatis   |   Kolom 'Aktif': linked dari sheet 🐟 Kalkulator (F column). Aktivitas ditagih hanya jika volume &gt; 0 dan flag aktif = 1.</t>
        </is>
      </c>
      <c r="C80" s="183" t="n"/>
      <c r="D80" s="183" t="n"/>
      <c r="E80" s="183" t="n"/>
      <c r="F80" s="183" t="n"/>
      <c r="G80" s="183" t="n"/>
      <c r="H80" s="183" t="n"/>
      <c r="I80" s="183" t="n"/>
      <c r="J80" s="183" t="n"/>
      <c r="K80" s="183" t="n"/>
    </row>
    <row r="81" ht="27.75" customHeight="1">
      <c r="B81" s="177" t="inlineStr">
        <is>
          <t>MODEL EaaS: KDKMP menarik biaya layanan (bukan tarif listrik) per unit output yang dihasilkan. Harga mencerminkan nilai layanan kepada pengguna, bukan biaya kWh. Contoh: harga es = Rp/ton es diproduksi (bukan Rp/kWh listrik untuk produksi es).</t>
        </is>
      </c>
      <c r="C81" s="183" t="n"/>
      <c r="D81" s="183" t="n"/>
      <c r="E81" s="183" t="n"/>
      <c r="F81" s="183" t="n"/>
      <c r="G81" s="183" t="n"/>
      <c r="H81" s="183" t="n"/>
      <c r="I81" s="183" t="n"/>
      <c r="J81" s="183" t="n"/>
      <c r="K81" s="183" t="n"/>
    </row>
    <row r="82" ht="39.75" customHeight="1">
      <c r="B82" s="20" t="inlineStr">
        <is>
          <t>AP</t>
        </is>
      </c>
      <c r="C82" s="20" t="inlineStr">
        <is>
          <t>Layanan EaaS</t>
        </is>
      </c>
      <c r="D82" s="20" t="inlineStr">
        <is>
          <t>Volume/Tahun 🟩
(kalkulasi)</t>
        </is>
      </c>
      <c r="E82" s="20" t="inlineStr">
        <is>
          <t>Satuan
Layanan</t>
        </is>
      </c>
      <c r="F82" s="20" t="inlineStr">
        <is>
          <t>Utilisasi 🟨
(% demand terpenuhi)</t>
        </is>
      </c>
      <c r="G82" s="20" t="inlineStr">
        <is>
          <t>Harga per
Satuan 🟨 (Rp)</t>
        </is>
      </c>
      <c r="H82" s="20" t="inlineStr">
        <is>
          <t>Pendapatan
(Rp juta/thn) 🟩</t>
        </is>
      </c>
      <c r="I82" s="20" t="inlineStr">
        <is>
          <t>Aktif?
(linked 🐟)</t>
        </is>
      </c>
      <c r="J82" s="20" t="n"/>
      <c r="K82" s="20" t="inlineStr">
        <is>
          <t>Sumber Harga &amp; Catatan</t>
        </is>
      </c>
    </row>
    <row r="83" ht="15.75" customHeight="1">
      <c r="B83" s="173" t="inlineStr">
        <is>
          <t>── FASE 1: PRA-PENANGKAPAN</t>
        </is>
      </c>
      <c r="C83" s="187" t="n"/>
      <c r="D83" s="187" t="n"/>
      <c r="E83" s="187" t="n"/>
      <c r="F83" s="187" t="n"/>
      <c r="G83" s="187" t="n"/>
      <c r="H83" s="187" t="n"/>
      <c r="I83" s="187" t="n"/>
      <c r="J83" s="187" t="n"/>
      <c r="K83" s="187" t="n"/>
    </row>
    <row r="84" ht="19.5" customHeight="1">
      <c r="B84" s="130" t="inlineStr">
        <is>
          <t>AP1</t>
        </is>
      </c>
      <c r="C84" s="22" t="inlineStr">
        <is>
          <t>Pengisian baterai perahu (charging station)</t>
        </is>
      </c>
      <c r="D84" s="87">
        <f>'🐟 Kalkulator Kebutuhan Listrik'!E28</f>
        <v/>
      </c>
      <c r="E84" s="24" t="inlineStr">
        <is>
          <t>kWh charged</t>
        </is>
      </c>
      <c r="F84" s="88" t="n">
        <v>0.8</v>
      </c>
      <c r="G84" s="89" t="n">
        <v>2000</v>
      </c>
      <c r="H84" s="87">
        <f>IF('🐟 Kalkulator Kebutuhan Listrik'!F28=1,D84*F84*G84/1000000,0)</f>
        <v/>
      </c>
      <c r="I84" s="90">
        <f>'🐟 Kalkulator Kebutuhan Listrik'!F28</f>
        <v/>
      </c>
      <c r="J84" s="91" t="n"/>
      <c r="K84" s="167" t="inlineStr">
        <is>
          <t>Rp 2,000/kWh = harga listrik ke nelayan + margin layanan charging.
SPLU PLN = Rp...</t>
        </is>
      </c>
    </row>
    <row r="85" ht="19.5" customHeight="1">
      <c r="B85" s="131" t="inlineStr">
        <is>
          <t>AP2</t>
        </is>
      </c>
      <c r="C85" s="22" t="inlineStr">
        <is>
          <t>Sewa set LED fish attractor (per trip)</t>
        </is>
      </c>
      <c r="D85" s="87">
        <f>IF('🐟 Kalkulator Kebutuhan Listrik'!C13&gt;0,IFERROR('🐟 Kalkulator Kebutuhan Listrik'!C6*'💰 Kapasitas &amp; Investasi'!E9,0),0)</f>
        <v/>
      </c>
      <c r="E85" s="24" t="inlineStr">
        <is>
          <t>trip pakai</t>
        </is>
      </c>
      <c r="F85" s="88" t="n">
        <v>0.7</v>
      </c>
      <c r="G85" s="89" t="n">
        <v>10000</v>
      </c>
      <c r="H85" s="87">
        <f>IF('🐟 Kalkulator Kebutuhan Listrik'!F29=1,D85*F85*G85/1000000,0)</f>
        <v/>
      </c>
      <c r="I85" s="90">
        <f>'🐟 Kalkulator Kebutuhan Listrik'!F29</f>
        <v/>
      </c>
      <c r="J85" s="91" t="n"/>
      <c r="K85" s="167" t="inlineStr">
        <is>
          <t>Rp 10,000/trip pakai set LED per kapal.
Alternatif: sewa tahunan Rp 500,000/kapa...</t>
        </is>
      </c>
    </row>
    <row r="86" ht="19.5" customHeight="1">
      <c r="B86" s="131" t="inlineStr">
        <is>
          <t>AP3</t>
        </is>
      </c>
      <c r="C86" s="22" t="inlineStr">
        <is>
          <t>Sewa peralatan navigasi &amp; fish finder</t>
        </is>
      </c>
      <c r="D86" s="87">
        <f>IF('🐟 Kalkulator Kebutuhan Listrik'!C13&gt;0,IFERROR('💰 Kapasitas &amp; Investasi'!E8*1,0),0)</f>
        <v/>
      </c>
      <c r="E86" s="24" t="inlineStr">
        <is>
          <t>unit-tahun</t>
        </is>
      </c>
      <c r="F86" s="88" t="n">
        <v>0.6</v>
      </c>
      <c r="G86" s="89" t="n">
        <v>1500000</v>
      </c>
      <c r="H86" s="87">
        <f>IF('🐟 Kalkulator Kebutuhan Listrik'!F30=1,D86*F86*G86/1000000,0)</f>
        <v/>
      </c>
      <c r="I86" s="90">
        <f>'🐟 Kalkulator Kebutuhan Listrik'!F30</f>
        <v/>
      </c>
      <c r="J86" s="91" t="n"/>
      <c r="K86" s="167" t="inlineStr">
        <is>
          <t>Rp 1,500,000/unit/tahun = sewa GPS + echosounder per kapal.
Alternatif: jual uni...</t>
        </is>
      </c>
    </row>
    <row r="87" ht="15.75" customHeight="1">
      <c r="B87" s="173" t="inlineStr">
        <is>
          <t>── FASE 2: PENDARATAN &amp; PELELANGAN (TPI)</t>
        </is>
      </c>
      <c r="C87" s="187" t="n"/>
      <c r="D87" s="187" t="n"/>
      <c r="E87" s="187" t="n"/>
      <c r="F87" s="187" t="n"/>
      <c r="G87" s="187" t="n"/>
      <c r="H87" s="187" t="n"/>
      <c r="I87" s="187" t="n"/>
      <c r="J87" s="187" t="n"/>
      <c r="K87" s="187" t="n"/>
    </row>
    <row r="88" ht="19.5" customHeight="1">
      <c r="B88" s="130" t="inlineStr">
        <is>
          <t>AP4</t>
        </is>
      </c>
      <c r="C88" s="22" t="inlineStr">
        <is>
          <t>Biaya pakai fasilitas TPI &amp; dermaga (per landing)</t>
        </is>
      </c>
      <c r="D88" s="87">
        <f>'🐟 Kalkulator Kebutuhan Listrik'!C13*1000/'💰 Kapasitas &amp; Investasi'!E8</f>
        <v/>
      </c>
      <c r="E88" s="24" t="inlineStr">
        <is>
          <t>trip pendaratan</t>
        </is>
      </c>
      <c r="F88" s="88" t="n">
        <v>0.85</v>
      </c>
      <c r="G88" s="89" t="n">
        <v>15000</v>
      </c>
      <c r="H88" s="87">
        <f>IF('🐟 Kalkulator Kebutuhan Listrik'!F32=1,D88*F88*G88/1000000,0)</f>
        <v/>
      </c>
      <c r="I88" s="90">
        <f>'🐟 Kalkulator Kebutuhan Listrik'!F32</f>
        <v/>
      </c>
      <c r="J88" s="91" t="n"/>
      <c r="K88" s="167" t="inlineStr">
        <is>
          <t>Rp 15,000/trip pendaratan = retribusi TPI per kapal.
Retribusi TPI resmi = 1-3% ...</t>
        </is>
      </c>
    </row>
    <row r="89" ht="19.5" customHeight="1">
      <c r="B89" s="130" t="inlineStr">
        <is>
          <t>AP5</t>
        </is>
      </c>
      <c r="C89" s="22" t="inlineStr">
        <is>
          <t>Jasa timbang &amp; sortir (per ton ikan)</t>
        </is>
      </c>
      <c r="D89" s="87">
        <f>'🐟 Kalkulator Kebutuhan Listrik'!C13</f>
        <v/>
      </c>
      <c r="E89" s="24" t="inlineStr">
        <is>
          <t>ton ditimbang</t>
        </is>
      </c>
      <c r="F89" s="88" t="n">
        <v>0.9</v>
      </c>
      <c r="G89" s="89" t="n">
        <v>25000</v>
      </c>
      <c r="H89" s="87">
        <f>IF('🐟 Kalkulator Kebutuhan Listrik'!F33=1,D89*F89*G89/1000000,0)</f>
        <v/>
      </c>
      <c r="I89" s="90">
        <f>'🐟 Kalkulator Kebutuhan Listrik'!F33</f>
        <v/>
      </c>
      <c r="J89" s="91" t="n"/>
      <c r="K89" s="167" t="inlineStr">
        <is>
          <t>Rp 25,000/ton = jasa timbang + sortir mekanis.
Manual sorting: Rp 15,000–20,000/...</t>
        </is>
      </c>
    </row>
    <row r="90" ht="15.75" customHeight="1">
      <c r="B90" s="173" t="inlineStr">
        <is>
          <t>── FASE 3: PENANGANAN &amp; PENDINGINAN</t>
        </is>
      </c>
      <c r="C90" s="187" t="n"/>
      <c r="D90" s="187" t="n"/>
      <c r="E90" s="187" t="n"/>
      <c r="F90" s="187" t="n"/>
      <c r="G90" s="187" t="n"/>
      <c r="H90" s="187" t="n"/>
      <c r="I90" s="187" t="n"/>
      <c r="J90" s="187" t="n"/>
      <c r="K90" s="187" t="n"/>
    </row>
    <row r="91" ht="19.5" customHeight="1">
      <c r="B91" s="130" t="inlineStr">
        <is>
          <t>AP6</t>
        </is>
      </c>
      <c r="C91" s="22" t="inlineStr">
        <is>
          <t>Penjualan es ke nelayan &amp; pemroses ikan</t>
        </is>
      </c>
      <c r="D91" s="87">
        <f>'🐟 Kalkulator Kebutuhan Listrik'!C18</f>
        <v/>
      </c>
      <c r="E91" s="24" t="inlineStr">
        <is>
          <t>ton es</t>
        </is>
      </c>
      <c r="F91" s="88" t="n">
        <v>0.85</v>
      </c>
      <c r="G91" s="89" t="n">
        <v>700000</v>
      </c>
      <c r="H91" s="87">
        <f>IF('🐟 Kalkulator Kebutuhan Listrik'!F35=1,D91*F91*G91/1000000,0)</f>
        <v/>
      </c>
      <c r="I91" s="90">
        <f>'🐟 Kalkulator Kebutuhan Listrik'!F35</f>
        <v/>
      </c>
      <c r="J91" s="91" t="n"/>
      <c r="K91" s="167" t="inlineStr">
        <is>
          <t>Rp 700,000/ton es = harga jual es balok/es curah.
Harga es di Indonesia (2024):
...</t>
        </is>
      </c>
    </row>
    <row r="92" ht="19.5" customHeight="1">
      <c r="B92" s="130" t="inlineStr">
        <is>
          <t>AP7</t>
        </is>
      </c>
      <c r="C92" s="22" t="inlineStr">
        <is>
          <t>Sewa cold storage (per ton per hari)</t>
        </is>
      </c>
      <c r="D92" s="87">
        <f>'🐟 Kalkulator Kebutuhan Listrik'!C13*'💰 Kapasitas &amp; Investasi'!E16</f>
        <v/>
      </c>
      <c r="E92" s="24" t="inlineStr">
        <is>
          <t>ton-hari</t>
        </is>
      </c>
      <c r="F92" s="88" t="n">
        <v>0.8</v>
      </c>
      <c r="G92" s="89" t="n">
        <v>7000</v>
      </c>
      <c r="H92" s="87">
        <f>IF('🐟 Kalkulator Kebutuhan Listrik'!F36=1,D92*F92*G92/1000000,0)</f>
        <v/>
      </c>
      <c r="I92" s="90">
        <f>'🐟 Kalkulator Kebutuhan Listrik'!F36</f>
        <v/>
      </c>
      <c r="J92" s="91" t="n"/>
      <c r="K92" s="167" t="inlineStr">
        <is>
          <t>Rp 7,000/ton/hari = tarif sewa cold storage.
Cold storage Indonesia (2024):
  Gu...</t>
        </is>
      </c>
    </row>
    <row r="93" ht="19.5" customHeight="1">
      <c r="B93" s="131" t="inlineStr">
        <is>
          <t>AP8</t>
        </is>
      </c>
      <c r="C93" s="22" t="inlineStr">
        <is>
          <t>Jasa blast freezing (per ton ikan)</t>
        </is>
      </c>
      <c r="D93" s="87">
        <f>'🐟 Kalkulator Kebutuhan Listrik'!C13</f>
        <v/>
      </c>
      <c r="E93" s="24" t="inlineStr">
        <is>
          <t>ton dibekukan</t>
        </is>
      </c>
      <c r="F93" s="88" t="n">
        <v>0.7</v>
      </c>
      <c r="G93" s="89" t="n">
        <v>250000</v>
      </c>
      <c r="H93" s="87">
        <f>IF('🐟 Kalkulator Kebutuhan Listrik'!F37=1,D93*F93*G93/1000000,0)</f>
        <v/>
      </c>
      <c r="I93" s="90">
        <f>'🐟 Kalkulator Kebutuhan Listrik'!F37</f>
        <v/>
      </c>
      <c r="J93" s="91" t="n"/>
      <c r="K93" s="167" t="inlineStr">
        <is>
          <t>Rp 250,000/ton = jasa blast freezing ke -18°C hingga -35°C.
Tarif blast freezing...</t>
        </is>
      </c>
    </row>
    <row r="94" ht="15.75" customHeight="1">
      <c r="B94" s="173" t="inlineStr">
        <is>
          <t>── FASE 4: PENGOLAHAN IKAN (OPSIONAL — nilai tambah)</t>
        </is>
      </c>
      <c r="C94" s="187" t="n"/>
      <c r="D94" s="187" t="n"/>
      <c r="E94" s="187" t="n"/>
      <c r="F94" s="187" t="n"/>
      <c r="G94" s="187" t="n"/>
      <c r="H94" s="187" t="n"/>
      <c r="I94" s="187" t="n"/>
      <c r="J94" s="187" t="n"/>
      <c r="K94" s="187" t="n"/>
    </row>
    <row r="95" ht="19.5" customHeight="1">
      <c r="B95" s="131" t="inlineStr">
        <is>
          <t>AP9</t>
        </is>
      </c>
      <c r="C95" s="22" t="inlineStr">
        <is>
          <t>Jasa fillet ikan (per kg input)</t>
        </is>
      </c>
      <c r="D95" s="87">
        <f>'🐟 Kalkulator Kebutuhan Listrik'!C13*1000</f>
        <v/>
      </c>
      <c r="E95" s="24" t="inlineStr">
        <is>
          <t>kg ikan diproses</t>
        </is>
      </c>
      <c r="F95" s="88" t="n">
        <v>0.65</v>
      </c>
      <c r="G95" s="89" t="n">
        <v>500</v>
      </c>
      <c r="H95" s="87">
        <f>IF('🐟 Kalkulator Kebutuhan Listrik'!F39=1,D95*F95*G95/1000000,0)</f>
        <v/>
      </c>
      <c r="I95" s="90">
        <f>'🐟 Kalkulator Kebutuhan Listrik'!F39</f>
        <v/>
      </c>
      <c r="J95" s="91" t="n"/>
      <c r="K95" s="167" t="inlineStr">
        <is>
          <t>Rp 500/kg = biaya jasa fillet (upah + listrik + pisau).
Industri pengolahan ikan...</t>
        </is>
      </c>
    </row>
    <row r="96" ht="19.5" customHeight="1">
      <c r="B96" s="131" t="inlineStr">
        <is>
          <t>AP10</t>
        </is>
      </c>
      <c r="C96" s="22" t="inlineStr">
        <is>
          <t>Jasa pengeringan ikan (per kg output ikan kering)</t>
        </is>
      </c>
      <c r="D96" s="87">
        <f>'🐟 Kalkulator Kebutuhan Listrik'!C13*250</f>
        <v/>
      </c>
      <c r="E96" s="24" t="inlineStr">
        <is>
          <t>kg ikan kering</t>
        </is>
      </c>
      <c r="F96" s="88" t="n">
        <v>0.6</v>
      </c>
      <c r="G96" s="89" t="n">
        <v>5000</v>
      </c>
      <c r="H96" s="87">
        <f>IF('🐟 Kalkulator Kebutuhan Listrik'!F40=1,D96*F96*G96/1000000,0)</f>
        <v/>
      </c>
      <c r="I96" s="90">
        <f>'🐟 Kalkulator Kebutuhan Listrik'!F40</f>
        <v/>
      </c>
      <c r="J96" s="91" t="n"/>
      <c r="K96" s="167" t="inlineStr">
        <is>
          <t>Rp 5,000/kg ikan kering = upah jasa + listrik + kemasan.
Harga jasa pengeringan ...</t>
        </is>
      </c>
    </row>
    <row r="97" ht="19.5" customHeight="1">
      <c r="B97" s="131" t="inlineStr">
        <is>
          <t>AP11</t>
        </is>
      </c>
      <c r="C97" s="22" t="inlineStr">
        <is>
          <t>Jasa vakum/pengemasan (per kg produk)</t>
        </is>
      </c>
      <c r="D97" s="87">
        <f>'🐟 Kalkulator Kebutuhan Listrik'!C13*1000</f>
        <v/>
      </c>
      <c r="E97" s="24" t="inlineStr">
        <is>
          <t>kg dikemas</t>
        </is>
      </c>
      <c r="F97" s="88" t="n">
        <v>0.65</v>
      </c>
      <c r="G97" s="89" t="n">
        <v>300</v>
      </c>
      <c r="H97" s="87">
        <f>IF('🐟 Kalkulator Kebutuhan Listrik'!F41=1,D97*F97*G97/1000000,0)</f>
        <v/>
      </c>
      <c r="I97" s="90">
        <f>'🐟 Kalkulator Kebutuhan Listrik'!F41</f>
        <v/>
      </c>
      <c r="J97" s="91" t="n"/>
      <c r="K97" s="167" t="inlineStr">
        <is>
          <t>Rp 300/kg = biaya jasa vakum + kemasan plastik.
Mesin vakum skala UMKM Indonesia...</t>
        </is>
      </c>
    </row>
    <row r="98" ht="15.75" customHeight="1">
      <c r="B98" s="173" t="inlineStr">
        <is>
          <t>── FASE 5: AIR BERSIH &amp; FASILITAS PENDUKUNG</t>
        </is>
      </c>
      <c r="C98" s="187" t="n"/>
      <c r="D98" s="187" t="n"/>
      <c r="E98" s="187" t="n"/>
      <c r="F98" s="187" t="n"/>
      <c r="G98" s="187" t="n"/>
      <c r="H98" s="187" t="n"/>
      <c r="I98" s="187" t="n"/>
      <c r="J98" s="187" t="n"/>
      <c r="K98" s="187" t="n"/>
    </row>
    <row r="99" ht="19.5" customHeight="1">
      <c r="B99" s="130" t="inlineStr">
        <is>
          <t>AP12</t>
        </is>
      </c>
      <c r="C99" s="22" t="inlineStr">
        <is>
          <t>Jasa penyediaan air bersih (per m³ dipompa)</t>
        </is>
      </c>
      <c r="D99" s="87">
        <f>('🐟 Kalkulator Kebutuhan Listrik'!C13*'💰 Kapasitas &amp; Investasi'!E19)+('🐟 Kalkulator Kebutuhan Listrik'!C18*'💰 Kapasitas &amp; Investasi'!E20)</f>
        <v/>
      </c>
      <c r="E99" s="24" t="inlineStr">
        <is>
          <t>m³/tahun</t>
        </is>
      </c>
      <c r="F99" s="88" t="n">
        <v>0.9</v>
      </c>
      <c r="G99" s="89" t="n">
        <v>1500</v>
      </c>
      <c r="H99" s="87">
        <f>IF('🐟 Kalkulator Kebutuhan Listrik'!F43=1,D99*F99*G99/1000000,0)</f>
        <v/>
      </c>
      <c r="I99" s="90">
        <f>'🐟 Kalkulator Kebutuhan Listrik'!F43</f>
        <v/>
      </c>
      <c r="J99" s="91" t="n"/>
      <c r="K99" s="167" t="inlineStr">
        <is>
          <t>Rp 1,500/m³ = tarif air bersih untuk pengolahan ikan.
Tarif air PDAM komersial I...</t>
        </is>
      </c>
    </row>
    <row r="100" ht="19.5" customHeight="1">
      <c r="B100" s="131" t="inlineStr">
        <is>
          <t>AP13</t>
        </is>
      </c>
      <c r="C100" s="22" t="inlineStr">
        <is>
          <t>Jasa aerasi kolam ikan hidup (per hari operasi)</t>
        </is>
      </c>
      <c r="D100" s="87">
        <f>IF('🐟 Kalkulator Kebutuhan Listrik'!C13&gt;0,'💰 Kapasitas &amp; Investasi'!E6,0)</f>
        <v/>
      </c>
      <c r="E100" s="24" t="inlineStr">
        <is>
          <t>hari operasi</t>
        </is>
      </c>
      <c r="F100" s="88" t="n">
        <v>0.75</v>
      </c>
      <c r="G100" s="89" t="n">
        <v>100000</v>
      </c>
      <c r="H100" s="87">
        <f>IF('🐟 Kalkulator Kebutuhan Listrik'!F44=1,D100*F100*G100/1000000,0)</f>
        <v/>
      </c>
      <c r="I100" s="90">
        <f>'🐟 Kalkulator Kebutuhan Listrik'!F44</f>
        <v/>
      </c>
      <c r="J100" s="91" t="n"/>
      <c r="K100" s="167" t="inlineStr">
        <is>
          <t>Rp 100,000/hari = tarif sewa aerasi kolam (listrik + operator).
Setara Rp 36 jut...</t>
        </is>
      </c>
    </row>
    <row r="101" ht="19.5" customHeight="1">
      <c r="B101" s="130" t="inlineStr">
        <is>
          <t>AP14</t>
        </is>
      </c>
      <c r="C101" s="22" t="inlineStr">
        <is>
          <t>Biaya fasilitas pengolahan (per hari pakai)</t>
        </is>
      </c>
      <c r="D101" s="87">
        <f>IF('🐟 Kalkulator Kebutuhan Listrik'!C13&gt;0,'💰 Kapasitas &amp; Investasi'!E6,0)</f>
        <v/>
      </c>
      <c r="E101" s="24" t="inlineStr">
        <is>
          <t>hari pakai</t>
        </is>
      </c>
      <c r="F101" s="88" t="n">
        <v>0.8</v>
      </c>
      <c r="G101" s="89" t="n">
        <v>50000</v>
      </c>
      <c r="H101" s="87">
        <f>IF('🐟 Kalkulator Kebutuhan Listrik'!F45=1,D101*F101*G101/1000000,0)</f>
        <v/>
      </c>
      <c r="I101" s="90">
        <f>'🐟 Kalkulator Kebutuhan Listrik'!F45</f>
        <v/>
      </c>
      <c r="J101" s="91" t="n"/>
      <c r="K101" s="167" t="inlineStr">
        <is>
          <t>Rp 50,000/hari = biaya sewa fasilitas (termasuk penerangan + air).
Fasilitas pro...</t>
        </is>
      </c>
    </row>
    <row r="102" ht="15.75" customHeight="1">
      <c r="B102" s="173" t="inlineStr">
        <is>
          <t>── FASE 6: DISTRIBUSI &amp; PENJUALAN</t>
        </is>
      </c>
      <c r="C102" s="187" t="n"/>
      <c r="D102" s="187" t="n"/>
      <c r="E102" s="187" t="n"/>
      <c r="F102" s="187" t="n"/>
      <c r="G102" s="187" t="n"/>
      <c r="H102" s="187" t="n"/>
      <c r="I102" s="187" t="n"/>
      <c r="J102" s="187" t="n"/>
      <c r="K102" s="187" t="n"/>
    </row>
    <row r="103" ht="19.5" customHeight="1">
      <c r="B103" s="131" t="inlineStr">
        <is>
          <t>AP15</t>
        </is>
      </c>
      <c r="C103" s="22" t="inlineStr">
        <is>
          <t>Jasa distribusi berpendingin (per trip pengiriman)</t>
        </is>
      </c>
      <c r="D103" s="87">
        <f>IFERROR('🐟 Kalkulator Kebutuhan Listrik'!C19*'💰 Kapasitas &amp; Investasi'!E6,0)</f>
        <v/>
      </c>
      <c r="E103" s="24" t="inlineStr">
        <is>
          <t>trip pengiriman</t>
        </is>
      </c>
      <c r="F103" s="88" t="n">
        <v>0.65</v>
      </c>
      <c r="G103" s="89" t="n">
        <v>200000</v>
      </c>
      <c r="H103" s="87">
        <f>IF('🐟 Kalkulator Kebutuhan Listrik'!F47=1,D103*F103*G103/1000000,0)</f>
        <v/>
      </c>
      <c r="I103" s="90">
        <f>'🐟 Kalkulator Kebutuhan Listrik'!F47</f>
        <v/>
      </c>
      <c r="J103" s="91" t="n"/>
      <c r="K103" s="167" t="inlineStr">
        <is>
          <t>Rp 200,000/trip = biaya distribusi dengan kendaraan berpendingin.
Tarif angkutan...</t>
        </is>
      </c>
    </row>
    <row r="104" ht="19.5" customHeight="1">
      <c r="B104" s="131" t="inlineStr">
        <is>
          <t>AP16</t>
        </is>
      </c>
      <c r="C104" s="22" t="inlineStr">
        <is>
          <t>Sewa display chiller kios/pasar (per hari per unit)</t>
        </is>
      </c>
      <c r="D104" s="87">
        <f>IF('🐟 Kalkulator Kebutuhan Listrik'!C13&gt;0,2*365,0)</f>
        <v/>
      </c>
      <c r="E104" s="24" t="inlineStr">
        <is>
          <t>unit-hari</t>
        </is>
      </c>
      <c r="F104" s="88" t="n">
        <v>0.7</v>
      </c>
      <c r="G104" s="89" t="n">
        <v>75000</v>
      </c>
      <c r="H104" s="87">
        <f>IF('🐟 Kalkulator Kebutuhan Listrik'!F48=1,D104*F104*G104/1000000,0)</f>
        <v/>
      </c>
      <c r="I104" s="90">
        <f>'🐟 Kalkulator Kebutuhan Listrik'!F48</f>
        <v/>
      </c>
      <c r="J104" s="91" t="n"/>
      <c r="K104" s="167" t="inlineStr">
        <is>
          <t>Rp 75,000/unit/hari = sewa display chiller showcase.
Tarif sewa showcase chiller...</t>
        </is>
      </c>
    </row>
    <row r="105" ht="21.75" customHeight="1">
      <c r="B105" s="174" t="inlineStr">
        <is>
          <t>TOTAL PENDAPATAN EaaS PER AKTIVITAS (Rp juta/tahun)</t>
        </is>
      </c>
      <c r="C105" s="183" t="n"/>
      <c r="D105" s="183" t="n"/>
      <c r="E105" s="183" t="n"/>
      <c r="F105" s="183" t="n"/>
      <c r="G105" s="191" t="n"/>
      <c r="H105" s="92">
        <f>H84+H85+H86+H88+H89+H91+H92+H93+H95+H96+H97+H99+H100+H101+H103+H104</f>
        <v/>
      </c>
      <c r="I105" s="93" t="n"/>
      <c r="J105" s="93" t="n"/>
      <c r="K105" s="93" t="n"/>
    </row>
    <row r="106"/>
    <row r="107" ht="18" customHeight="1">
      <c r="B107" s="175" t="inlineStr">
        <is>
          <t>Kontribusi per aktivitas terhadap total EaaS revenue (Model 3):</t>
        </is>
      </c>
      <c r="C107" s="183" t="n"/>
      <c r="D107" s="183" t="n"/>
      <c r="E107" s="183" t="n"/>
      <c r="F107" s="183" t="n"/>
      <c r="G107" s="183" t="n"/>
      <c r="H107" s="183" t="n"/>
      <c r="I107" s="183" t="n"/>
      <c r="J107" s="183" t="n"/>
      <c r="K107" s="183" t="n"/>
    </row>
    <row r="108" ht="21.75" customHeight="1">
      <c r="A108" s="20" t="inlineStr">
        <is>
          <t>—</t>
        </is>
      </c>
      <c r="B108" s="20" t="inlineStr">
        <is>
          <t>AP</t>
        </is>
      </c>
      <c r="C108" s="20" t="inlineStr">
        <is>
          <t>Layanan</t>
        </is>
      </c>
      <c r="D108" s="20" t="inlineStr">
        <is>
          <t>Rev (Rp juta)</t>
        </is>
      </c>
      <c r="E108" s="20" t="inlineStr">
        <is>
          <t>% dari Total</t>
        </is>
      </c>
      <c r="F108" s="20" t="n"/>
      <c r="G108" s="20" t="n"/>
      <c r="H108" s="20" t="n"/>
      <c r="I108" s="20" t="n"/>
      <c r="J108" s="20" t="n"/>
      <c r="K108" s="20" t="n"/>
      <c r="L108" s="20" t="n"/>
    </row>
    <row r="109" ht="15.75" customHeight="1">
      <c r="B109" s="94" t="inlineStr">
        <is>
          <t>AP1</t>
        </is>
      </c>
      <c r="C109" s="95" t="inlineStr">
        <is>
          <t>Charging baterai</t>
        </is>
      </c>
      <c r="D109" s="87">
        <f>H84</f>
        <v/>
      </c>
      <c r="E109" s="199">
        <f>IFERROR(H84/H105,0)</f>
        <v/>
      </c>
      <c r="F109" s="97" t="n"/>
      <c r="G109" s="97" t="n"/>
      <c r="H109" s="97" t="n"/>
      <c r="I109" s="97" t="n"/>
      <c r="J109" s="97" t="n"/>
      <c r="K109" s="97" t="n"/>
    </row>
    <row r="110" ht="15.75" customHeight="1">
      <c r="B110" s="98" t="inlineStr">
        <is>
          <t>AP2</t>
        </is>
      </c>
      <c r="C110" s="22" t="inlineStr">
        <is>
          <t>LED attractor</t>
        </is>
      </c>
      <c r="D110" s="87">
        <f>H85</f>
        <v/>
      </c>
      <c r="E110" s="199">
        <f>IFERROR(H85/H105,0)</f>
        <v/>
      </c>
      <c r="F110" s="91" t="n"/>
      <c r="G110" s="91" t="n"/>
      <c r="H110" s="91" t="n"/>
      <c r="I110" s="91" t="n"/>
      <c r="J110" s="91" t="n"/>
      <c r="K110" s="91" t="n"/>
    </row>
    <row r="111" ht="15.75" customHeight="1">
      <c r="B111" s="94" t="inlineStr">
        <is>
          <t>AP3</t>
        </is>
      </c>
      <c r="C111" s="95" t="inlineStr">
        <is>
          <t>Navigasi/fish finder</t>
        </is>
      </c>
      <c r="D111" s="87">
        <f>H86</f>
        <v/>
      </c>
      <c r="E111" s="199">
        <f>IFERROR(H86/H105,0)</f>
        <v/>
      </c>
      <c r="F111" s="97" t="n"/>
      <c r="G111" s="97" t="n"/>
      <c r="H111" s="97" t="n"/>
      <c r="I111" s="97" t="n"/>
      <c r="J111" s="97" t="n"/>
      <c r="K111" s="97" t="n"/>
    </row>
    <row r="112" ht="15.75" customHeight="1">
      <c r="B112" s="98" t="inlineStr">
        <is>
          <t>AP4</t>
        </is>
      </c>
      <c r="C112" s="22" t="inlineStr">
        <is>
          <t>Pendaratan TPI</t>
        </is>
      </c>
      <c r="D112" s="87">
        <f>H88</f>
        <v/>
      </c>
      <c r="E112" s="199">
        <f>IFERROR(H88/H105,0)</f>
        <v/>
      </c>
      <c r="F112" s="91" t="n"/>
      <c r="G112" s="91" t="n"/>
      <c r="H112" s="91" t="n"/>
      <c r="I112" s="91" t="n"/>
      <c r="J112" s="91" t="n"/>
      <c r="K112" s="91" t="n"/>
    </row>
    <row r="113" ht="15.75" customHeight="1">
      <c r="B113" s="94" t="inlineStr">
        <is>
          <t>AP5</t>
        </is>
      </c>
      <c r="C113" s="95" t="inlineStr">
        <is>
          <t>Timbang &amp; sortir</t>
        </is>
      </c>
      <c r="D113" s="87">
        <f>H89</f>
        <v/>
      </c>
      <c r="E113" s="199">
        <f>IFERROR(H89/H105,0)</f>
        <v/>
      </c>
      <c r="F113" s="97" t="n"/>
      <c r="G113" s="97" t="n"/>
      <c r="H113" s="97" t="n"/>
      <c r="I113" s="97" t="n"/>
      <c r="J113" s="97" t="n"/>
      <c r="K113" s="97" t="n"/>
    </row>
    <row r="114" ht="15.75" customHeight="1">
      <c r="B114" s="98" t="inlineStr">
        <is>
          <t>AP6</t>
        </is>
      </c>
      <c r="C114" s="22" t="inlineStr">
        <is>
          <t>Penjualan es</t>
        </is>
      </c>
      <c r="D114" s="87">
        <f>H91</f>
        <v/>
      </c>
      <c r="E114" s="199">
        <f>IFERROR(H91/H105,0)</f>
        <v/>
      </c>
      <c r="F114" s="91" t="n"/>
      <c r="G114" s="91" t="n"/>
      <c r="H114" s="91" t="n"/>
      <c r="I114" s="91" t="n"/>
      <c r="J114" s="91" t="n"/>
      <c r="K114" s="91" t="n"/>
    </row>
    <row r="115" ht="15.75" customHeight="1">
      <c r="B115" s="94" t="inlineStr">
        <is>
          <t>AP7</t>
        </is>
      </c>
      <c r="C115" s="95" t="inlineStr">
        <is>
          <t>Cold storage</t>
        </is>
      </c>
      <c r="D115" s="87">
        <f>H92</f>
        <v/>
      </c>
      <c r="E115" s="199">
        <f>IFERROR(H92/H105,0)</f>
        <v/>
      </c>
      <c r="F115" s="97" t="n"/>
      <c r="G115" s="97" t="n"/>
      <c r="H115" s="97" t="n"/>
      <c r="I115" s="97" t="n"/>
      <c r="J115" s="97" t="n"/>
      <c r="K115" s="97" t="n"/>
    </row>
    <row r="116" ht="15.75" customHeight="1">
      <c r="B116" s="98" t="inlineStr">
        <is>
          <t>AP8</t>
        </is>
      </c>
      <c r="C116" s="22" t="inlineStr">
        <is>
          <t>Blast freezing</t>
        </is>
      </c>
      <c r="D116" s="87">
        <f>H93</f>
        <v/>
      </c>
      <c r="E116" s="199">
        <f>IFERROR(H93/H105,0)</f>
        <v/>
      </c>
      <c r="F116" s="91" t="n"/>
      <c r="G116" s="91" t="n"/>
      <c r="H116" s="91" t="n"/>
      <c r="I116" s="91" t="n"/>
      <c r="J116" s="91" t="n"/>
      <c r="K116" s="91" t="n"/>
    </row>
    <row r="117" ht="15.75" customHeight="1">
      <c r="B117" s="94" t="inlineStr">
        <is>
          <t>AP9</t>
        </is>
      </c>
      <c r="C117" s="95" t="inlineStr">
        <is>
          <t>Fillet</t>
        </is>
      </c>
      <c r="D117" s="87">
        <f>H95</f>
        <v/>
      </c>
      <c r="E117" s="199">
        <f>IFERROR(H95/H105,0)</f>
        <v/>
      </c>
      <c r="F117" s="97" t="n"/>
      <c r="G117" s="97" t="n"/>
      <c r="H117" s="97" t="n"/>
      <c r="I117" s="97" t="n"/>
      <c r="J117" s="97" t="n"/>
      <c r="K117" s="97" t="n"/>
    </row>
    <row r="118" ht="15.75" customHeight="1">
      <c r="B118" s="98" t="inlineStr">
        <is>
          <t>AP10</t>
        </is>
      </c>
      <c r="C118" s="22" t="inlineStr">
        <is>
          <t>Pengering ikan</t>
        </is>
      </c>
      <c r="D118" s="87">
        <f>H96</f>
        <v/>
      </c>
      <c r="E118" s="199">
        <f>IFERROR(H96/H105,0)</f>
        <v/>
      </c>
      <c r="F118" s="91" t="n"/>
      <c r="G118" s="91" t="n"/>
      <c r="H118" s="91" t="n"/>
      <c r="I118" s="91" t="n"/>
      <c r="J118" s="91" t="n"/>
      <c r="K118" s="91" t="n"/>
    </row>
    <row r="119" ht="15.75" customHeight="1">
      <c r="B119" s="94" t="inlineStr">
        <is>
          <t>AP11</t>
        </is>
      </c>
      <c r="C119" s="95" t="inlineStr">
        <is>
          <t>Vakum/kemasan</t>
        </is>
      </c>
      <c r="D119" s="87">
        <f>H97</f>
        <v/>
      </c>
      <c r="E119" s="199">
        <f>IFERROR(H97/H105,0)</f>
        <v/>
      </c>
      <c r="F119" s="97" t="n"/>
      <c r="G119" s="97" t="n"/>
      <c r="H119" s="97" t="n"/>
      <c r="I119" s="97" t="n"/>
      <c r="J119" s="97" t="n"/>
      <c r="K119" s="97" t="n"/>
    </row>
    <row r="120" ht="15.75" customHeight="1">
      <c r="B120" s="98" t="inlineStr">
        <is>
          <t>AP12</t>
        </is>
      </c>
      <c r="C120" s="22" t="inlineStr">
        <is>
          <t>Air bersih</t>
        </is>
      </c>
      <c r="D120" s="87">
        <f>H99</f>
        <v/>
      </c>
      <c r="E120" s="199">
        <f>IFERROR(H99/H105,0)</f>
        <v/>
      </c>
      <c r="F120" s="91" t="n"/>
      <c r="G120" s="91" t="n"/>
      <c r="H120" s="91" t="n"/>
      <c r="I120" s="91" t="n"/>
      <c r="J120" s="91" t="n"/>
      <c r="K120" s="91" t="n"/>
    </row>
    <row r="121" ht="15.75" customHeight="1">
      <c r="B121" s="94" t="inlineStr">
        <is>
          <t>AP13</t>
        </is>
      </c>
      <c r="C121" s="95" t="inlineStr">
        <is>
          <t>Aerasi kolam</t>
        </is>
      </c>
      <c r="D121" s="87">
        <f>H100</f>
        <v/>
      </c>
      <c r="E121" s="199">
        <f>IFERROR(H100/H105,0)</f>
        <v/>
      </c>
      <c r="F121" s="97" t="n"/>
      <c r="G121" s="97" t="n"/>
      <c r="H121" s="97" t="n"/>
      <c r="I121" s="97" t="n"/>
      <c r="J121" s="97" t="n"/>
      <c r="K121" s="97" t="n"/>
    </row>
    <row r="122" ht="15.75" customHeight="1">
      <c r="B122" s="98" t="inlineStr">
        <is>
          <t>AP14</t>
        </is>
      </c>
      <c r="C122" s="22" t="inlineStr">
        <is>
          <t>Fasilitas pengolahan</t>
        </is>
      </c>
      <c r="D122" s="87">
        <f>H101</f>
        <v/>
      </c>
      <c r="E122" s="199">
        <f>IFERROR(H101/H105,0)</f>
        <v/>
      </c>
      <c r="F122" s="91" t="n"/>
      <c r="G122" s="91" t="n"/>
      <c r="H122" s="91" t="n"/>
      <c r="I122" s="91" t="n"/>
      <c r="J122" s="91" t="n"/>
      <c r="K122" s="91" t="n"/>
    </row>
    <row r="123" ht="15.75" customHeight="1">
      <c r="B123" s="94" t="inlineStr">
        <is>
          <t>AP15</t>
        </is>
      </c>
      <c r="C123" s="95" t="inlineStr">
        <is>
          <t>Distribusi berpendingin</t>
        </is>
      </c>
      <c r="D123" s="87">
        <f>H103</f>
        <v/>
      </c>
      <c r="E123" s="199">
        <f>IFERROR(H103/H105,0)</f>
        <v/>
      </c>
      <c r="F123" s="97" t="n"/>
      <c r="G123" s="97" t="n"/>
      <c r="H123" s="97" t="n"/>
      <c r="I123" s="97" t="n"/>
      <c r="J123" s="97" t="n"/>
      <c r="K123" s="97" t="n"/>
    </row>
    <row r="124" ht="15.75" customHeight="1">
      <c r="B124" s="98" t="inlineStr">
        <is>
          <t>AP16</t>
        </is>
      </c>
      <c r="C124" s="22" t="inlineStr">
        <is>
          <t>Display chiller</t>
        </is>
      </c>
      <c r="D124" s="87">
        <f>H104</f>
        <v/>
      </c>
      <c r="E124" s="199">
        <f>IFERROR(H104/H105,0)</f>
        <v/>
      </c>
      <c r="F124" s="91" t="n"/>
      <c r="G124" s="91" t="n"/>
      <c r="H124" s="91" t="n"/>
      <c r="I124" s="91" t="n"/>
      <c r="J124" s="91" t="n"/>
      <c r="K124" s="91" t="n"/>
    </row>
    <row r="125"/>
    <row r="126"/>
    <row r="127" ht="15.75" customHeight="1">
      <c r="A127" s="176" t="inlineStr">
        <is>
          <t>DCF HELPER TABLE  —  Year-by-Year Cash Flows for IRR Calculation  (do not edit manually — all formulas auto-calculated)</t>
        </is>
      </c>
      <c r="B127" s="192" t="n"/>
      <c r="C127" s="192" t="n"/>
      <c r="D127" s="192" t="n"/>
      <c r="E127" s="192" t="n"/>
      <c r="F127" s="192" t="n"/>
      <c r="G127" s="192" t="n"/>
      <c r="H127" s="192" t="n"/>
      <c r="I127" s="192" t="n"/>
      <c r="J127" s="192" t="n"/>
      <c r="K127" s="192" t="n"/>
      <c r="L127" s="192" t="n"/>
      <c r="M127" s="192" t="n"/>
      <c r="N127" s="192" t="n"/>
      <c r="O127" s="192" t="n"/>
      <c r="P127" s="192" t="n"/>
      <c r="Q127" s="192" t="n"/>
      <c r="R127" s="192" t="n"/>
      <c r="S127" s="192" t="n"/>
      <c r="T127" s="192" t="n"/>
      <c r="U127" s="192" t="n"/>
      <c r="V127" s="192" t="n"/>
    </row>
    <row r="128" ht="13.5" customHeight="1">
      <c r="A128" s="169" t="inlineStr">
        <is>
          <t>Formula per tahun t:  CF(t) = CF_yr1 × (1+g)^t × (1−deg)^t  −  IF(t = BESS_year, BESS_cost, 0)  |  Yr 0 = −Net CAPEX after grant  |  IRR = =IRR(Yr0:Yr20, 10%) computed in row below</t>
        </is>
      </c>
      <c r="B128" s="200" t="n"/>
      <c r="C128" s="200" t="n"/>
      <c r="D128" s="200" t="n"/>
      <c r="E128" s="200" t="n"/>
      <c r="F128" s="200" t="n"/>
      <c r="G128" s="200" t="n"/>
      <c r="H128" s="200" t="n"/>
      <c r="I128" s="200" t="n"/>
      <c r="J128" s="200" t="n"/>
      <c r="K128" s="200" t="n"/>
      <c r="L128" s="200" t="n"/>
      <c r="M128" s="200" t="n"/>
      <c r="N128" s="200" t="n"/>
      <c r="O128" s="200" t="n"/>
      <c r="P128" s="200" t="n"/>
      <c r="Q128" s="200" t="n"/>
      <c r="R128" s="200" t="n"/>
      <c r="S128" s="200" t="n"/>
      <c r="T128" s="200" t="n"/>
      <c r="U128" s="200" t="n"/>
      <c r="V128" s="200" t="n"/>
    </row>
    <row r="129" ht="13.5" customHeight="1">
      <c r="A129" s="99" t="inlineStr">
        <is>
          <t>Model</t>
        </is>
      </c>
      <c r="B129" s="99" t="inlineStr">
        <is>
          <t>Yr 0</t>
        </is>
      </c>
      <c r="C129" s="99" t="inlineStr">
        <is>
          <t>Yr 1</t>
        </is>
      </c>
      <c r="D129" s="99" t="inlineStr">
        <is>
          <t>Yr 2</t>
        </is>
      </c>
      <c r="E129" s="99" t="inlineStr">
        <is>
          <t>Yr 3</t>
        </is>
      </c>
      <c r="F129" s="99" t="inlineStr">
        <is>
          <t>Yr 4</t>
        </is>
      </c>
      <c r="G129" s="99" t="inlineStr">
        <is>
          <t>Yr 5</t>
        </is>
      </c>
      <c r="H129" s="99" t="inlineStr">
        <is>
          <t>Yr 6</t>
        </is>
      </c>
      <c r="I129" s="99" t="inlineStr">
        <is>
          <t>Yr 7</t>
        </is>
      </c>
      <c r="J129" s="99" t="inlineStr">
        <is>
          <t>Yr 8</t>
        </is>
      </c>
      <c r="K129" s="99" t="inlineStr">
        <is>
          <t>Yr 9</t>
        </is>
      </c>
      <c r="L129" s="99" t="inlineStr">
        <is>
          <t>Yr 10</t>
        </is>
      </c>
      <c r="M129" s="99" t="inlineStr">
        <is>
          <t>Yr 11</t>
        </is>
      </c>
      <c r="N129" s="99" t="inlineStr">
        <is>
          <t>Yr 12</t>
        </is>
      </c>
      <c r="O129" s="99" t="inlineStr">
        <is>
          <t>Yr 13</t>
        </is>
      </c>
      <c r="P129" s="99" t="inlineStr">
        <is>
          <t>Yr 14</t>
        </is>
      </c>
      <c r="Q129" s="99" t="inlineStr">
        <is>
          <t>Yr 15</t>
        </is>
      </c>
      <c r="R129" s="99" t="inlineStr">
        <is>
          <t>Yr 16</t>
        </is>
      </c>
      <c r="S129" s="99" t="inlineStr">
        <is>
          <t>Yr 17</t>
        </is>
      </c>
      <c r="T129" s="99" t="inlineStr">
        <is>
          <t>Yr 18</t>
        </is>
      </c>
      <c r="U129" s="99" t="inlineStr">
        <is>
          <t>Yr 19</t>
        </is>
      </c>
      <c r="V129" s="99" t="inlineStr">
        <is>
          <t>Yr 20</t>
        </is>
      </c>
    </row>
    <row r="130" ht="15" customHeight="1">
      <c r="A130" s="100" t="inlineStr">
        <is>
          <t>Model 1 (3rd Party IPP)</t>
        </is>
      </c>
      <c r="B130" s="101">
        <f>-C34</f>
        <v/>
      </c>
      <c r="C130" s="101">
        <f>C61*(1+C57)^1*(1-C58)^1-IF(1=C59,C60,0)</f>
        <v/>
      </c>
      <c r="D130" s="101">
        <f>C61*(1+C57)^2*(1-C58)^2-IF(2=C59,C60,0)</f>
        <v/>
      </c>
      <c r="E130" s="101">
        <f>C61*(1+C57)^3*(1-C58)^3-IF(3=C59,C60,0)</f>
        <v/>
      </c>
      <c r="F130" s="101">
        <f>C61*(1+C57)^4*(1-C58)^4-IF(4=C59,C60,0)</f>
        <v/>
      </c>
      <c r="G130" s="101">
        <f>C61*(1+C57)^5*(1-C58)^5-IF(5=C59,C60,0)</f>
        <v/>
      </c>
      <c r="H130" s="101">
        <f>C61*(1+C57)^6*(1-C58)^6-IF(6=C59,C60,0)</f>
        <v/>
      </c>
      <c r="I130" s="101">
        <f>C61*(1+C57)^7*(1-C58)^7-IF(7=C59,C60,0)</f>
        <v/>
      </c>
      <c r="J130" s="101">
        <f>C61*(1+C57)^8*(1-C58)^8-IF(8=C59,C60,0)</f>
        <v/>
      </c>
      <c r="K130" s="101">
        <f>C61*(1+C57)^9*(1-C58)^9-IF(9=C59,C60,0)</f>
        <v/>
      </c>
      <c r="L130" s="101">
        <f>C61*(1+C57)^10*(1-C58)^10-IF(10=C59,C60,0)</f>
        <v/>
      </c>
      <c r="M130" s="101">
        <f>C61*(1+C57)^11*(1-C58)^11-IF(11=C59,C60,0)</f>
        <v/>
      </c>
      <c r="N130" s="101">
        <f>C61*(1+C57)^12*(1-C58)^12-IF(12=C59,C60,0)</f>
        <v/>
      </c>
      <c r="O130" s="101">
        <f>C61*(1+C57)^13*(1-C58)^13-IF(13=C59,C60,0)</f>
        <v/>
      </c>
      <c r="P130" s="101">
        <f>C61*(1+C57)^14*(1-C58)^14-IF(14=C59,C60,0)</f>
        <v/>
      </c>
      <c r="Q130" s="101">
        <f>C61*(1+C57)^15*(1-C58)^15-IF(15=C59,C60,0)</f>
        <v/>
      </c>
      <c r="R130" s="101">
        <f>C61*(1+C57)^16*(1-C58)^16-IF(16=C59,C60,0)</f>
        <v/>
      </c>
      <c r="S130" s="101">
        <f>C61*(1+C57)^17*(1-C58)^17-IF(17=C59,C60,0)</f>
        <v/>
      </c>
      <c r="T130" s="101">
        <f>C61*(1+C57)^18*(1-C58)^18-IF(18=C59,C60,0)</f>
        <v/>
      </c>
      <c r="U130" s="101">
        <f>C61*(1+C57)^19*(1-C58)^19-IF(19=C59,C60,0)</f>
        <v/>
      </c>
      <c r="V130" s="101">
        <f>C61*(1+C57)^20*(1-C58)^20-IF(20=C59,C60,0)</f>
        <v/>
      </c>
    </row>
    <row r="131" ht="15" customHeight="1">
      <c r="A131" s="102" t="inlineStr">
        <is>
          <t>Model 2 (KDKMP owns PLTS)</t>
        </is>
      </c>
      <c r="B131" s="103">
        <f>-D34</f>
        <v/>
      </c>
      <c r="C131" s="103">
        <f>D61*(1+D57)^1*(1-D58)^1-IF(1=D59,D60,0)</f>
        <v/>
      </c>
      <c r="D131" s="103">
        <f>D61*(1+D57)^2*(1-D58)^2-IF(2=D59,D60,0)</f>
        <v/>
      </c>
      <c r="E131" s="103">
        <f>D61*(1+D57)^3*(1-D58)^3-IF(3=D59,D60,0)</f>
        <v/>
      </c>
      <c r="F131" s="103">
        <f>D61*(1+D57)^4*(1-D58)^4-IF(4=D59,D60,0)</f>
        <v/>
      </c>
      <c r="G131" s="103">
        <f>D61*(1+D57)^5*(1-D58)^5-IF(5=D59,D60,0)</f>
        <v/>
      </c>
      <c r="H131" s="103">
        <f>D61*(1+D57)^6*(1-D58)^6-IF(6=D59,D60,0)</f>
        <v/>
      </c>
      <c r="I131" s="103">
        <f>D61*(1+D57)^7*(1-D58)^7-IF(7=D59,D60,0)</f>
        <v/>
      </c>
      <c r="J131" s="103">
        <f>D61*(1+D57)^8*(1-D58)^8-IF(8=D59,D60,0)</f>
        <v/>
      </c>
      <c r="K131" s="103">
        <f>D61*(1+D57)^9*(1-D58)^9-IF(9=D59,D60,0)</f>
        <v/>
      </c>
      <c r="L131" s="103">
        <f>D61*(1+D57)^10*(1-D58)^10-IF(10=D59,D60,0)</f>
        <v/>
      </c>
      <c r="M131" s="103">
        <f>D61*(1+D57)^11*(1-D58)^11-IF(11=D59,D60,0)</f>
        <v/>
      </c>
      <c r="N131" s="103">
        <f>D61*(1+D57)^12*(1-D58)^12-IF(12=D59,D60,0)</f>
        <v/>
      </c>
      <c r="O131" s="103">
        <f>D61*(1+D57)^13*(1-D58)^13-IF(13=D59,D60,0)</f>
        <v/>
      </c>
      <c r="P131" s="103">
        <f>D61*(1+D57)^14*(1-D58)^14-IF(14=D59,D60,0)</f>
        <v/>
      </c>
      <c r="Q131" s="103">
        <f>D61*(1+D57)^15*(1-D58)^15-IF(15=D59,D60,0)</f>
        <v/>
      </c>
      <c r="R131" s="103">
        <f>D61*(1+D57)^16*(1-D58)^16-IF(16=D59,D60,0)</f>
        <v/>
      </c>
      <c r="S131" s="103">
        <f>D61*(1+D57)^17*(1-D58)^17-IF(17=D59,D60,0)</f>
        <v/>
      </c>
      <c r="T131" s="103">
        <f>D61*(1+D57)^18*(1-D58)^18-IF(18=D59,D60,0)</f>
        <v/>
      </c>
      <c r="U131" s="103">
        <f>D61*(1+D57)^19*(1-D58)^19-IF(19=D59,D60,0)</f>
        <v/>
      </c>
      <c r="V131" s="103">
        <f>D61*(1+D57)^20*(1-D58)^20-IF(20=D59,D60,0)</f>
        <v/>
      </c>
    </row>
    <row r="132" ht="15" customHeight="1">
      <c r="A132" s="104" t="inlineStr">
        <is>
          <t>Model 3 (EaaS)</t>
        </is>
      </c>
      <c r="B132" s="105">
        <f>-E34</f>
        <v/>
      </c>
      <c r="C132" s="105">
        <f>E61*(1+E57)^1*(1-E58)^1-IF(1=E59,E60,0)</f>
        <v/>
      </c>
      <c r="D132" s="105">
        <f>E61*(1+E57)^2*(1-E58)^2-IF(2=E59,E60,0)</f>
        <v/>
      </c>
      <c r="E132" s="105">
        <f>E61*(1+E57)^3*(1-E58)^3-IF(3=E59,E60,0)</f>
        <v/>
      </c>
      <c r="F132" s="105">
        <f>E61*(1+E57)^4*(1-E58)^4-IF(4=E59,E60,0)</f>
        <v/>
      </c>
      <c r="G132" s="105">
        <f>E61*(1+E57)^5*(1-E58)^5-IF(5=E59,E60,0)</f>
        <v/>
      </c>
      <c r="H132" s="105">
        <f>E61*(1+E57)^6*(1-E58)^6-IF(6=E59,E60,0)</f>
        <v/>
      </c>
      <c r="I132" s="105">
        <f>E61*(1+E57)^7*(1-E58)^7-IF(7=E59,E60,0)</f>
        <v/>
      </c>
      <c r="J132" s="105">
        <f>E61*(1+E57)^8*(1-E58)^8-IF(8=E59,E60,0)</f>
        <v/>
      </c>
      <c r="K132" s="105">
        <f>E61*(1+E57)^9*(1-E58)^9-IF(9=E59,E60,0)</f>
        <v/>
      </c>
      <c r="L132" s="105">
        <f>E61*(1+E57)^10*(1-E58)^10-IF(10=E59,E60,0)</f>
        <v/>
      </c>
      <c r="M132" s="105">
        <f>E61*(1+E57)^11*(1-E58)^11-IF(11=E59,E60,0)</f>
        <v/>
      </c>
      <c r="N132" s="105">
        <f>E61*(1+E57)^12*(1-E58)^12-IF(12=E59,E60,0)</f>
        <v/>
      </c>
      <c r="O132" s="105">
        <f>E61*(1+E57)^13*(1-E58)^13-IF(13=E59,E60,0)</f>
        <v/>
      </c>
      <c r="P132" s="105">
        <f>E61*(1+E57)^14*(1-E58)^14-IF(14=E59,E60,0)</f>
        <v/>
      </c>
      <c r="Q132" s="105">
        <f>E61*(1+E57)^15*(1-E58)^15-IF(15=E59,E60,0)</f>
        <v/>
      </c>
      <c r="R132" s="105">
        <f>E61*(1+E57)^16*(1-E58)^16-IF(16=E59,E60,0)</f>
        <v/>
      </c>
      <c r="S132" s="105">
        <f>E61*(1+E57)^17*(1-E58)^17-IF(17=E59,E60,0)</f>
        <v/>
      </c>
      <c r="T132" s="105">
        <f>E61*(1+E57)^18*(1-E58)^18-IF(18=E59,E60,0)</f>
        <v/>
      </c>
      <c r="U132" s="105">
        <f>E61*(1+E57)^19*(1-E58)^19-IF(19=E59,E60,0)</f>
        <v/>
      </c>
      <c r="V132" s="105">
        <f>E61*(1+E57)^20*(1-E58)^20-IF(20=E59,E60,0)</f>
        <v/>
      </c>
    </row>
    <row r="133" ht="15" customHeight="1">
      <c r="A133" s="106" t="inlineStr">
        <is>
          <t>IRR (=IRR function)</t>
        </is>
      </c>
      <c r="C133" s="201">
        <f>IFERROR(IRR(B130:V130,0.1),"N/A")</f>
        <v/>
      </c>
      <c r="D133" s="202">
        <f>IFERROR(IRR(B131:V131,0.1),"N/A")</f>
        <v/>
      </c>
      <c r="E133" s="203">
        <f>IFERROR(IRR(B132:V132,0.1),"N/A")</f>
        <v/>
      </c>
      <c r="F133" s="110" t="n"/>
      <c r="G133" s="110" t="n"/>
      <c r="H133" s="110" t="n"/>
      <c r="I133" s="110" t="n"/>
      <c r="J133" s="110" t="n"/>
      <c r="K133" s="110" t="n"/>
      <c r="L133" s="110" t="n"/>
      <c r="M133" s="110" t="n"/>
      <c r="N133" s="110" t="n"/>
      <c r="O133" s="110" t="n"/>
      <c r="P133" s="110" t="n"/>
      <c r="Q133" s="110" t="n"/>
      <c r="R133" s="110" t="n"/>
      <c r="S133" s="110" t="n"/>
      <c r="T133" s="110" t="n"/>
      <c r="U133" s="110" t="n"/>
      <c r="V133" s="110" t="n"/>
    </row>
  </sheetData>
  <mergeCells count="22">
    <mergeCell ref="A66:F66"/>
    <mergeCell ref="B83:K83"/>
    <mergeCell ref="B80:K80"/>
    <mergeCell ref="A79:K79"/>
    <mergeCell ref="A2:F2"/>
    <mergeCell ref="B94:K94"/>
    <mergeCell ref="A22:F22"/>
    <mergeCell ref="A127:V127"/>
    <mergeCell ref="A4:F4"/>
    <mergeCell ref="B81:K81"/>
    <mergeCell ref="A53:F53"/>
    <mergeCell ref="B90:K90"/>
    <mergeCell ref="B102:K102"/>
    <mergeCell ref="A28:F28"/>
    <mergeCell ref="B98:K98"/>
    <mergeCell ref="B107:K107"/>
    <mergeCell ref="A128:V128"/>
    <mergeCell ref="A36:F36"/>
    <mergeCell ref="A1:F1"/>
    <mergeCell ref="A45:F45"/>
    <mergeCell ref="B105:G105"/>
    <mergeCell ref="B87:K87"/>
  </mergeCells>
  <pageMargins left="0.7" right="0.7" top="0.75" bottom="0.75" header="0.511811023622047" footer="0.511811023622047"/>
  <pageSetup orientation="portrait" paperSize="9" horizontalDpi="300" verticalDpi="300"/>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E47"/>
  <sheetViews>
    <sheetView tabSelected="1" zoomScale="80" zoomScaleNormal="80" workbookViewId="0">
      <selection activeCell="AG11" sqref="AG11"/>
    </sheetView>
  </sheetViews>
  <sheetFormatPr baseColWidth="8" defaultColWidth="8.5703125" defaultRowHeight="14.45"/>
  <cols>
    <col width="45.5703125" customWidth="1" min="1" max="1"/>
  </cols>
  <sheetData>
    <row r="1" ht="18.6" customHeight="1">
      <c r="A1" s="135" t="inlineStr">
        <is>
          <t>Rangkuman</t>
        </is>
      </c>
    </row>
    <row r="2">
      <c r="A2" s="111" t="n"/>
    </row>
    <row r="3">
      <c r="A3" s="111" t="inlineStr">
        <is>
          <t>Perhitungan Pendapatan KDKMP (Rp juta/tahun)</t>
        </is>
      </c>
      <c r="B3" s="111" t="inlineStr">
        <is>
          <t>Model 1</t>
        </is>
      </c>
      <c r="C3" s="111" t="inlineStr">
        <is>
          <t>Model 2</t>
        </is>
      </c>
      <c r="D3" s="111" t="inlineStr">
        <is>
          <t>Model 3</t>
        </is>
      </c>
    </row>
    <row r="4">
      <c r="A4" t="inlineStr">
        <is>
          <t>Penjualan listrik ke anggota koperasi</t>
        </is>
      </c>
      <c r="B4" s="112">
        <f>'Kalkulator Pendapatan'!C16</f>
        <v/>
      </c>
      <c r="C4" s="112">
        <f>'Kalkulator Pendapatan'!D16</f>
        <v/>
      </c>
      <c r="D4" s="112">
        <f>'Kalkulator Pendapatan'!E16</f>
        <v/>
      </c>
    </row>
    <row r="5">
      <c r="A5" t="inlineStr">
        <is>
          <t>Penjualan listrik ke PLN</t>
        </is>
      </c>
      <c r="B5" s="112">
        <f>'Kalkulator Pendapatan'!C17</f>
        <v/>
      </c>
      <c r="C5" s="112">
        <f>'Kalkulator Pendapatan'!D17</f>
        <v/>
      </c>
      <c r="D5" s="112">
        <f>'Kalkulator Pendapatan'!E17</f>
        <v/>
      </c>
    </row>
    <row r="6">
      <c r="A6" t="inlineStr">
        <is>
          <t>EaaS</t>
        </is>
      </c>
      <c r="B6" s="112">
        <f>'Kalkulator Pendapatan'!C26</f>
        <v/>
      </c>
      <c r="C6" s="112">
        <f>'Kalkulator Pendapatan'!D26</f>
        <v/>
      </c>
      <c r="D6" s="112">
        <f>'Kalkulator Pendapatan'!E26</f>
        <v/>
      </c>
    </row>
    <row r="7"/>
    <row r="8">
      <c r="A8" s="111" t="inlineStr">
        <is>
          <t>Kapasitas PLTS dan BESS KDKMP</t>
        </is>
      </c>
      <c r="B8" s="111" t="inlineStr">
        <is>
          <t>Model 1</t>
        </is>
      </c>
      <c r="C8" s="111" t="inlineStr">
        <is>
          <t>Model 2</t>
        </is>
      </c>
      <c r="D8" s="111" t="inlineStr">
        <is>
          <t>Model 3</t>
        </is>
      </c>
    </row>
    <row r="9">
      <c r="A9" t="inlineStr">
        <is>
          <t>PLTS (kWp)</t>
        </is>
      </c>
      <c r="B9">
        <f>ROUNDUP('🐟 Kalkulator Kebutuhan Listrik'!$D$60,0)</f>
        <v/>
      </c>
      <c r="C9">
        <f>ROUNDUP('🐟 Kalkulator Kebutuhan Listrik'!$D$63,0)</f>
        <v/>
      </c>
      <c r="D9">
        <f>ROUNDUP('🐟 Kalkulator Kebutuhan Listrik'!$D$60,0)</f>
        <v/>
      </c>
    </row>
    <row r="10">
      <c r="A10" t="inlineStr">
        <is>
          <t>BESS (kWh)</t>
        </is>
      </c>
      <c r="B10">
        <f>ROUNDUP('🐟 Kalkulator Kebutuhan Listrik'!$D$61,0)</f>
        <v/>
      </c>
      <c r="C10">
        <f>ROUNDUP('🐟 Kalkulator Kebutuhan Listrik'!$D$61,0)</f>
        <v/>
      </c>
      <c r="D10">
        <f>ROUNDUP('🐟 Kalkulator Kebutuhan Listrik'!$D$61,0)</f>
        <v/>
      </c>
    </row>
    <row r="11"/>
    <row r="12">
      <c r="A12" s="111" t="inlineStr">
        <is>
          <t>Perhitungan CAPEX KDKMP (Rp miliar)</t>
        </is>
      </c>
      <c r="B12" s="111" t="inlineStr">
        <is>
          <t>Model 1</t>
        </is>
      </c>
      <c r="C12" s="111" t="inlineStr">
        <is>
          <t>Model 2</t>
        </is>
      </c>
      <c r="D12" s="111" t="inlineStr">
        <is>
          <t>Model 3</t>
        </is>
      </c>
    </row>
    <row r="13">
      <c r="A13" t="inlineStr">
        <is>
          <t>CAPEX infrastruktur PLTS + BESS</t>
        </is>
      </c>
      <c r="B13" s="112">
        <f>'Kalkulator Pendapatan'!C30/1000</f>
        <v/>
      </c>
      <c r="C13" s="112">
        <f>'Kalkulator Pendapatan'!D30/1000</f>
        <v/>
      </c>
      <c r="D13" s="112">
        <f>'Kalkulator Pendapatan'!E30/1000</f>
        <v/>
      </c>
    </row>
    <row r="14">
      <c r="A14" t="inlineStr">
        <is>
          <t>CAPEX aset ekonomi produktif</t>
        </is>
      </c>
      <c r="B14" s="112">
        <f>'Kalkulator Pendapatan'!C31/1000</f>
        <v/>
      </c>
      <c r="C14" s="112">
        <f>'Kalkulator Pendapatan'!D31/1000</f>
        <v/>
      </c>
      <c r="D14" s="112">
        <f>'Kalkulator Pendapatan'!E31/1000</f>
        <v/>
      </c>
    </row>
    <row r="15"/>
    <row r="16">
      <c r="A16" s="111" t="inlineStr">
        <is>
          <t>Perhitungan OPEX KDKMP (Rp juta/tahun)</t>
        </is>
      </c>
      <c r="B16" s="111" t="inlineStr">
        <is>
          <t>Model 1</t>
        </is>
      </c>
      <c r="C16" s="111" t="inlineStr">
        <is>
          <t>Model 2</t>
        </is>
      </c>
      <c r="D16" s="111" t="inlineStr">
        <is>
          <t>Model 3</t>
        </is>
      </c>
    </row>
    <row r="17">
      <c r="A17" t="inlineStr">
        <is>
          <t>OPEX infrastruktur PLTS + BESS</t>
        </is>
      </c>
      <c r="B17" s="112">
        <f>'Kalkulator Pendapatan'!C39</f>
        <v/>
      </c>
      <c r="C17" s="112">
        <f>'Kalkulator Pendapatan'!D39</f>
        <v/>
      </c>
      <c r="D17" s="112">
        <f>'Kalkulator Pendapatan'!E39</f>
        <v/>
      </c>
    </row>
    <row r="18">
      <c r="A18" t="inlineStr">
        <is>
          <t>OPEX aset ekonomi produktif</t>
        </is>
      </c>
      <c r="B18" s="112">
        <f>'Kalkulator Pendapatan'!C41</f>
        <v/>
      </c>
      <c r="C18" s="112">
        <f>'Kalkulator Pendapatan'!D41</f>
        <v/>
      </c>
      <c r="D18" s="112">
        <f>'Kalkulator Pendapatan'!E41</f>
        <v/>
      </c>
    </row>
    <row r="19">
      <c r="A19" t="inlineStr">
        <is>
          <t>Biaya staf dan manajemen KDKMP</t>
        </is>
      </c>
      <c r="B19" s="112">
        <f>'Kalkulator Pendapatan'!C42</f>
        <v/>
      </c>
      <c r="C19" s="112">
        <f>'Kalkulator Pendapatan'!D42</f>
        <v/>
      </c>
      <c r="D19" s="112">
        <f>'Kalkulator Pendapatan'!E42</f>
        <v/>
      </c>
    </row>
    <row r="20"/>
    <row r="21">
      <c r="A21" s="111" t="inlineStr">
        <is>
          <t>Payback Period</t>
        </is>
      </c>
      <c r="B21" s="111" t="inlineStr">
        <is>
          <t>Model 1</t>
        </is>
      </c>
      <c r="C21" s="111" t="inlineStr">
        <is>
          <t>Model 2</t>
        </is>
      </c>
      <c r="D21" s="111" t="inlineStr">
        <is>
          <t>Model 3</t>
        </is>
      </c>
    </row>
    <row r="22">
      <c r="A22" t="inlineStr">
        <is>
          <t>Payback Period (tahun)</t>
        </is>
      </c>
      <c r="B22" s="204">
        <f>'Kalkulator Pendapatan'!C73</f>
        <v/>
      </c>
      <c r="C22" s="204">
        <f>'Kalkulator Pendapatan'!D73</f>
        <v/>
      </c>
      <c r="D22" s="204">
        <f>'Kalkulator Pendapatan'!E73</f>
        <v/>
      </c>
    </row>
    <row r="23"/>
    <row r="24">
      <c r="A24" s="111" t="inlineStr">
        <is>
          <t>IRR</t>
        </is>
      </c>
      <c r="B24" s="111" t="inlineStr">
        <is>
          <t>Model 1</t>
        </is>
      </c>
      <c r="C24" s="111" t="inlineStr">
        <is>
          <t>Model 2</t>
        </is>
      </c>
      <c r="D24" s="111" t="inlineStr">
        <is>
          <t>Model 3</t>
        </is>
      </c>
    </row>
    <row r="25">
      <c r="A25" t="inlineStr">
        <is>
          <t>IRR</t>
        </is>
      </c>
      <c r="B25" s="205">
        <f>'Kalkulator Pendapatan'!C64</f>
        <v/>
      </c>
      <c r="C25" s="205">
        <f>'Kalkulator Pendapatan'!D64</f>
        <v/>
      </c>
      <c r="D25" s="205">
        <f>'Kalkulator Pendapatan'!E64</f>
        <v/>
      </c>
    </row>
    <row r="26"/>
    <row r="27">
      <c r="A27" s="111" t="inlineStr">
        <is>
          <t>Tarif listrik ke pelanggan (Rp/kWh)</t>
        </is>
      </c>
      <c r="B27" s="111" t="inlineStr">
        <is>
          <t>Model 1</t>
        </is>
      </c>
      <c r="C27" s="111" t="inlineStr">
        <is>
          <t>Model 2</t>
        </is>
      </c>
      <c r="D27" s="111" t="inlineStr">
        <is>
          <t>Model 3</t>
        </is>
      </c>
    </row>
    <row r="28">
      <c r="A28" t="inlineStr">
        <is>
          <t>Tarif listrik ke pelanggan (Rp/kWh)</t>
        </is>
      </c>
      <c r="B28" s="114">
        <f>'Kalkulator Pendapatan'!C6</f>
        <v/>
      </c>
      <c r="C28" s="114">
        <f>'Kalkulator Pendapatan'!D9</f>
        <v/>
      </c>
      <c r="D28" s="114">
        <f>'Kalkulator Pendapatan'!E6</f>
        <v/>
      </c>
    </row>
    <row r="29"/>
    <row r="30">
      <c r="A30" s="111" t="inlineStr">
        <is>
          <t>Total subsidi pemerintah pusat (Rp juta/tahun)</t>
        </is>
      </c>
      <c r="B30" s="111" t="inlineStr">
        <is>
          <t>Model 1</t>
        </is>
      </c>
      <c r="C30" s="111" t="inlineStr">
        <is>
          <t>Model 2</t>
        </is>
      </c>
      <c r="D30" s="111" t="inlineStr">
        <is>
          <t>Model 3</t>
        </is>
      </c>
      <c r="E30" s="111" t="inlineStr">
        <is>
          <t>Note</t>
        </is>
      </c>
    </row>
    <row r="31">
      <c r="A31" t="inlineStr">
        <is>
          <t>Tambahan subsidi listrik ke PLN</t>
        </is>
      </c>
      <c r="B31">
        <f>'Kalkulator Pendapatan'!C11*'Kalkulator Pendapatan'!C14/1000000</f>
        <v/>
      </c>
      <c r="C31" s="133">
        <f>'Kalkulator Pendapatan'!D11*'Kalkulator Pendapatan'!D14/1000000</f>
        <v/>
      </c>
      <c r="D31">
        <f>'Kalkulator Pendapatan'!E11*'Kalkulator Pendapatan'!E14/1000000</f>
        <v/>
      </c>
      <c r="E31" s="134" t="inlineStr">
        <is>
          <t>subsidi hanya untuk anggota koperasi, subsidi untuk surplus yang dijual di luar scope</t>
        </is>
      </c>
    </row>
    <row r="32">
      <c r="A32" t="inlineStr">
        <is>
          <t>Subsidi infrastruktur PLTS ke KDKMP</t>
        </is>
      </c>
      <c r="B32" s="114">
        <f>'Kalkulator Pendapatan'!C19</f>
        <v/>
      </c>
      <c r="C32" s="114">
        <f>'Kalkulator Pendapatan'!D19</f>
        <v/>
      </c>
      <c r="D32" s="114">
        <f>'Kalkulator Pendapatan'!E19</f>
        <v/>
      </c>
    </row>
    <row r="33">
      <c r="A33" t="inlineStr">
        <is>
          <t>Subsidi infrastruktur aset produktif ke KDKMP</t>
        </is>
      </c>
      <c r="B33" s="114">
        <f>'Kalkulator Pendapatan'!C25</f>
        <v/>
      </c>
      <c r="C33" s="114">
        <f>'Kalkulator Pendapatan'!D25</f>
        <v/>
      </c>
      <c r="D33" s="114">
        <f>'Kalkulator Pendapatan'!E25</f>
        <v/>
      </c>
    </row>
    <row r="34"/>
    <row r="35">
      <c r="A35" s="111" t="inlineStr">
        <is>
          <t>Kebutuhan listrik KDKMP (sama untuk seluruh model) (MWh/tahun)</t>
        </is>
      </c>
    </row>
    <row r="36">
      <c r="A36" s="111" t="inlineStr">
        <is>
          <t>Parameter</t>
        </is>
      </c>
      <c r="B36" s="111" t="inlineStr">
        <is>
          <t>Kebutuhan Listrik</t>
        </is>
      </c>
      <c r="C36" s="111" t="n"/>
    </row>
    <row r="37">
      <c r="A37" t="inlineStr">
        <is>
          <t>Kebutuhan listrik rumah tangga tahunan</t>
        </is>
      </c>
      <c r="B37" s="114">
        <f>'🐟 Kalkulator Kebutuhan Listrik'!D58/1000</f>
        <v/>
      </c>
    </row>
    <row r="38">
      <c r="A38" t="inlineStr">
        <is>
          <t>Kebutuhan listrik komoditas ikan (termasuk es untuk aktivitas produksi ikan)</t>
        </is>
      </c>
      <c r="B38" s="114">
        <f>'🐟 Kalkulator Kebutuhan Listrik'!D55/1000</f>
        <v/>
      </c>
      <c r="D38" s="144" t="n"/>
    </row>
    <row r="39">
      <c r="A39" t="inlineStr">
        <is>
          <t>Kebutuhan listrik komoditas es (dijual ke luar)</t>
        </is>
      </c>
      <c r="B39" s="114">
        <f>'🐟 Kalkulator Kebutuhan Listrik'!D56/1000</f>
        <v/>
      </c>
      <c r="D39" s="114" t="n"/>
    </row>
    <row r="40">
      <c r="A40" t="inlineStr">
        <is>
          <t>Total</t>
        </is>
      </c>
      <c r="B40" s="114">
        <f>SUM(B37:B39)</f>
        <v/>
      </c>
      <c r="D40" s="114" t="n"/>
    </row>
    <row r="41"/>
    <row r="42">
      <c r="A42" s="111" t="inlineStr">
        <is>
          <t>Pendapatan dari komoditas (sama untuk seluruh model)</t>
        </is>
      </c>
    </row>
    <row r="43">
      <c r="A43" s="111" t="inlineStr">
        <is>
          <t>Komoditas</t>
        </is>
      </c>
      <c r="B43" s="111" t="inlineStr">
        <is>
          <t>Rp miliar/tahun</t>
        </is>
      </c>
    </row>
    <row r="44">
      <c r="A44" t="inlineStr">
        <is>
          <t>Fish</t>
        </is>
      </c>
      <c r="B44" s="204">
        <f>'🐟 Kalkulator Kebutuhan Listrik'!C11/1000</f>
        <v/>
      </c>
    </row>
    <row r="45">
      <c r="A45" t="inlineStr">
        <is>
          <t>Es (dijual ke nelayan lokal)</t>
        </is>
      </c>
      <c r="B45" s="204">
        <f>'🐟 Kalkulator Kebutuhan Listrik'!C22/1000</f>
        <v/>
      </c>
    </row>
    <row r="46">
      <c r="A46" t="inlineStr">
        <is>
          <t>Es (dijual ke luar)</t>
        </is>
      </c>
      <c r="B46" s="204">
        <f>'🐟 Kalkulator Kebutuhan Listrik'!C23/1000</f>
        <v/>
      </c>
    </row>
    <row r="47">
      <c r="A47" t="inlineStr">
        <is>
          <t>Total</t>
        </is>
      </c>
      <c r="B47" s="204">
        <f>SUM(B44:B46)</f>
        <v/>
      </c>
    </row>
  </sheetData>
  <pageMargins left="0.7" right="0.7" top="0.75" bottom="0.75" header="0.511811023622047" footer="0.511811023622047"/>
  <pageSetup orientation="portrait" paperSize="9" horizontalDpi="300" verticalDpi="300"/>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2026-05-20T07:37:35Z</dcterms:created>
  <dcterms:modified xmlns:dcterms="http://purl.org/dc/terms/" xmlns:xsi="http://www.w3.org/2001/XMLSchema-instance" xsi:type="dcterms:W3CDTF">2026-06-24T10:17:08Z</dcterms:modified>
  <cp:lastModifiedBy>Abraham Octama Halim</cp:lastModifiedBy>
  <cp:revision>2</cp:revision>
</cp:coreProperties>
</file>